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d9caa16ab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617ede6b8d4a0a"/>
    <x:sheet xmlns:r="http://schemas.openxmlformats.org/officeDocument/2006/relationships" name="Inputs" sheetId="2" r:id="R6a63669d20804ee3"/>
    <x:sheet xmlns:r="http://schemas.openxmlformats.org/officeDocument/2006/relationships" name="Trend" sheetId="3" r:id="R69c8acdd15464e52"/>
    <x:sheet xmlns:r="http://schemas.openxmlformats.org/officeDocument/2006/relationships" name="Bridge" sheetId="4" r:id="R4eb876924c764e47"/>
    <x:sheet xmlns:r="http://schemas.openxmlformats.org/officeDocument/2006/relationships" name="Checks" sheetId="5" r:id="R45a293defa3d4729"/>
    <x:sheet xmlns:r="http://schemas.openxmlformats.org/officeDocument/2006/relationships" name="Sources" sheetId="6" r:id="Re6673b8b988242df"/>
  </x:sheets>
</x:workbook>
</file>

<file path=xl/comments1.xml><?xml version="1.0" encoding="utf-8"?>
<x:comments xmlns:x="http://schemas.openxmlformats.org/spreadsheetml/2006/main">
  <x:authors>
    <x:author>tc={9375687A-6404-552F-467A-8E24C67F9C8D}</x:author>
    <x:author>tc={1091796B-E5F2-4E61-2BC7-DD9D5325A1CE}</x:author>
    <x:author>tc={B69AE5F6-3386-B23A-5DA9-2DB0D2FC06E8}</x:author>
    <x:author>tc={8705C011-D996-A44E-7CAE-637B2B929CE1}</x:author>
    <x:author>tc={5133486F-762F-A5EE-1A0B-E9A17E8F8F88}</x:author>
    <x:author>tc={D2296E34-FF22-FCFA-7EA6-4CE60BA68A40}</x:author>
    <x:author>tc={40EE972B-E12E-C7AA-9DF9-C99E40F26F06}</x:author>
    <x:author>tc={70D3D3A8-B002-D5B9-A2C3-07AFEF7F2CFF}</x:author>
    <x:author>tc={696A0167-1BF6-9B83-FD5E-001AD9CC07E5}</x:author>
    <x:author>tc={67F6FD41-8AED-CF99-3C97-D4B3D12FC870}</x:author>
    <x:author>tc={56A9785B-8685-1B2F-05C2-5D317CD08741}</x:author>
    <x:author>tc={96C86FF9-ACFC-39D5-AB72-FE0BFD453E22}</x:author>
    <x:author>tc={BDE4D418-C4EA-9C43-6DA0-B4BAE7E44104}</x:author>
    <x:author>tc={32A4616D-1710-8C95-A85B-320F589D74F0}</x:author>
    <x:author>tc={8ED192EC-D328-8A45-EDD8-1629120AAB26}</x:author>
    <x:author>tc={1D31ABD0-C4F2-5CB0-BAC4-BACD4A916DC8}</x:author>
    <x:author>tc={E33ED995-A1A3-F786-FC0A-C792BFB8BE96}</x:author>
    <x:author>tc={2A1AF1BB-ED77-0B78-DD5B-713936CE7D36}</x:author>
    <x:author>tc={CA88C7C8-AC04-B90C-E471-E5F32D3FA5C5}</x:author>
    <x:author>tc={EAA2CF30-3F78-EF94-1CEF-BDC7B1F7ED67}</x:author>
    <x:author>tc={CD763FC5-B262-5CC0-4346-08B496900B15}</x:author>
    <x:author>tc={E7D28075-54E9-D23F-C5DF-59DE3FACECDA}</x:author>
    <x:author>tc={6290756C-5B45-5D2E-B839-848DC5C92ED8}</x:author>
    <x:author>tc={1A048036-239D-BE1A-E15B-D9D81D6056DA}</x:author>
    <x:author>tc={D07D3318-14B5-BF8B-F351-88CD375F2DE3}</x:author>
    <x:author>tc={CBBBE8C9-042F-CEAF-F2EA-DCA01845DD59}</x:author>
    <x:author>tc={460EE893-64CE-31EB-8AB2-BB6F11EF9647}</x:author>
    <x:author>tc={2E7372EE-DD8A-5F6D-E811-A09246DF2456}</x:author>
    <x:author>tc={86BA505E-BCA4-B8AA-965F-A2B3EF76434D}</x:author>
    <x:author>tc={9BF5EF42-93D9-4A0F-0DA3-91AF8C966B07}</x:author>
    <x:author>tc={CF178C61-B652-271D-9DA0-0E7B407189FF}</x:author>
    <x:author>tc={308F6F87-B551-B71A-C7EA-31075306880A}</x:author>
    <x:author>tc={6A320C02-7A83-AD38-9143-239B6922716E}</x:author>
    <x:author>tc={5605765C-7B73-9635-3DB3-250D785198F1}</x:author>
    <x:author>tc={7F538983-7559-6BF8-5CD3-424AFCFD5F91}</x:author>
    <x:author>tc={FA6D5A2F-6892-D624-6018-05995426B32E}</x:author>
    <x:author>tc={DDA8465E-FDF7-4090-A497-50FAD5F0E67A}</x:author>
    <x:author>tc={42432956-4912-A535-E0BF-D436AA64EE6F}</x:author>
    <x:author>tc={B9145D5F-A62F-9FCC-2EF6-893333CDA474}</x:author>
    <x:author>tc={B06156DF-9937-DD15-72EE-DFC08AFC1375}</x:author>
    <x:author>tc={918A4774-BAF5-F5D5-116C-A5FC21EB9B3A}</x:author>
    <x:author>tc={906FC5DC-D276-7D0A-C7A4-3B81A5C3FACB}</x:author>
    <x:author>tc={DD2D97D5-FB42-CA5C-F9EE-B312B2CBA637}</x:author>
    <x:author>tc={16A4D2FD-8C46-59B1-48F4-48FC9A44F31A}</x:author>
    <x:author>tc={7CDDEE79-7A94-FB4B-426C-8B8C8BE03F25}</x:author>
    <x:author>tc={0E380D25-AE25-37A9-9B74-441D97B8CF4C}</x:author>
    <x:author>tc={E1043B6F-A59A-73CF-BCC3-710B246510ED}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中国平安_年报_2023.pdf，PDF第29页（报告印刷页码25），按险种划分的经营业绩表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中国平安_年报_2023.pdf，PDF第29页（报告印刷页码25），按险种划分的经营业绩表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中国平安_年报_2023.pdf，PDF第29页（报告印刷页码25），按险种划分的经营业绩表</x:t>
        </x:r>
      </x:text>
    </x:comment>
    <x:comment ref="B1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中国平安_年报_2023.pdf，PDF第29页（报告印刷页码25），按险种划分的经营业绩表</x:t>
        </x:r>
      </x:text>
    </x:comment>
    <x:comment ref="B1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中国平安_年报_2023.pdf，PDF第29页（报告印刷页码25），按险种划分的经营业绩表</x:t>
        </x:r>
      </x:text>
    </x:comment>
    <x:comment ref="B1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中国平安_年报_2023.pdf，PDF第29页（报告印刷页码25），按险种划分的经营业绩表</x:t>
        </x:r>
      </x:text>
    </x:comment>
    <x:comment ref="B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1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1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1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1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19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20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2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B2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平安产险_年度信息披露报告_2023.pdf，PDF第118页，分部报告（2023年度）</x:t>
        </x:r>
      </x:text>
    </x:comment>
    <x:comment ref="C6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中国平安_年报_2024.pdf，PDF第45页（报告印刷页码41），按险种划分的经营业绩表</x:t>
        </x:r>
      </x:text>
    </x:comment>
    <x:comment ref="C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中国平安_年报_2024.pdf，PDF第45页（报告印刷页码41），按险种划分的经营业绩表</x:t>
        </x:r>
      </x:text>
    </x:comment>
    <x:comment ref="C8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中国平安_年报_2024.pdf，PDF第45页（报告印刷页码41），按险种划分的经营业绩表</x:t>
        </x:r>
      </x:text>
    </x:comment>
    <x:comment ref="C1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中国平安_年报_2024.pdf，PDF第45页（报告印刷页码41），按险种划分的经营业绩表</x:t>
        </x:r>
      </x:text>
    </x:comment>
    <x:comment ref="C1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中国平安_年报_2024.pdf，PDF第45页（报告印刷页码41），按险种划分的经营业绩表</x:t>
        </x:r>
      </x:text>
    </x:comment>
    <x:comment ref="C13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中国平安_年报_2024.pdf，PDF第45页（报告印刷页码41），按险种划分的经营业绩表</x:t>
        </x:r>
      </x:text>
    </x:comment>
    <x:comment ref="C5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1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15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16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17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18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19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20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21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C22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平安产险_年度信息披露报告_2025.pdf，PDF第119页，分部报告（2024年度比较数）</x:t>
        </x:r>
      </x:text>
    </x:comment>
    <x:comment ref="D6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中国平安_年报_2025.pdf，PDF第56页（报告印刷页码52），按险种划分的经营业绩表</x:t>
        </x:r>
      </x:text>
    </x:comment>
    <x:comment ref="D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中国平安_年报_2025.pdf，PDF第56页（报告印刷页码52），按险种划分的经营业绩表</x:t>
        </x:r>
      </x:text>
    </x:comment>
    <x:comment ref="D1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中国平安_年报_2025.pdf，PDF第56页（报告印刷页码52），按险种划分的经营业绩表</x:t>
        </x:r>
      </x:text>
    </x:comment>
    <x:comment ref="D1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中国平安_年报_2025.pdf，PDF第56页（报告印刷页码52），按险种划分的经营业绩表</x:t>
        </x:r>
      </x:text>
    </x:comment>
    <x:comment ref="D1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中国平安_年报_2025.pdf，PDF第56页（报告印刷页码52），按险种划分的经营业绩表</x:t>
        </x:r>
      </x:text>
    </x:comment>
    <x:comment ref="D5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10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15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1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1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18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19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20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21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  <x:comment ref="D2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平安产险_年度信息披露报告_2025.pdf，PDF第117页，分部报告（2025年度）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0"/>
    <x:numFmt numFmtId="201" formatCode="0.0%"/>
    <x:numFmt numFmtId="202" formatCode="0.0000%"/>
    <x:numFmt numFmtId="203" formatCode="0.00%"/>
    <x:numFmt numFmtId="204" formatCode="#,##0.0;[Red](#,##0.0);-"/>
    <x:numFmt numFmtId="205" formatCode="0.0000;[Red](0.0000);-"/>
    <x:numFmt numFmtId="206" formatCode="0.0000"/>
    <x:numFmt numFmtId="207" formatCode="0.00"/>
    <x:numFmt numFmtId="208" formatCode="0.000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6666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4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  <x:bottom style="thin">
        <x:color rgb="FFC9B458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/>
    <x:xf numFmtId="202" fontId="4" fillId="0" borderId="2" xfId="0" applyNumberFormat="1" applyFont="1" applyFill="1" applyBorder="1"/>
    <x:xf numFmtId="200" fontId="4" fillId="0" borderId="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3" fontId="5" fillId="0" borderId="2" xfId="0" applyNumberFormat="1" applyFont="1" applyFill="1" applyBorder="1"/>
    <x:xf numFmtId="204" fontId="5" fillId="0" borderId="2" xfId="0" applyNumberFormat="1" applyFont="1" applyFill="1" applyBorder="1"/>
    <x:xf numFmtId="203" fontId="5" fillId="0" borderId="2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5" fillId="0" borderId="0" xfId="0" applyNumberFormat="1" applyFont="1" applyFill="1" applyBorder="1"/>
    <x:xf numFmtId="205" fontId="5" fillId="0" borderId="2" xfId="0" applyNumberFormat="1" applyFont="1" applyFill="1" applyBorder="1"/>
    <x:xf numFmtId="205" fontId="5" fillId="0" borderId="2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  <x:xf numFmtId="206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2" xfId="0" applyNumberFormat="1" applyFont="1" applyFill="1" applyBorder="1"/>
    <x:xf numFmtId="201" fontId="6" fillId="0" borderId="2" xfId="0" applyNumberFormat="1" applyFont="1" applyFill="1" applyBorder="1"/>
    <x:xf numFmtId="206" fontId="6" fillId="0" borderId="2" xfId="0" applyNumberFormat="1" applyFont="1" applyFill="1" applyBorder="1"/>
    <x:xf numFmtId="204" fontId="6" fillId="0" borderId="2" xfId="0" applyNumberFormat="1" applyFont="1" applyFill="1" applyBorder="1"/>
    <x:xf numFmtId="205" fontId="6" fillId="0" borderId="2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8" fontId="0" fillId="0" borderId="2" xfId="0" applyNumberFormat="1" applyFont="1" applyFill="1" applyBorder="1"/>
    <x:xf numFmtId="208" fontId="0" fillId="0" borderId="2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0080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d619a97994175" /><Relationship Type="http://schemas.openxmlformats.org/officeDocument/2006/relationships/theme" Target="/xl/theme/theme1.xml" Id="Rebf8cc30bc254c12" /><Relationship Type="http://schemas.openxmlformats.org/officeDocument/2006/relationships/sharedStrings" Target="/xl/sharedStrings.xml" Id="R1823e994adf74833" /><Relationship Type="http://schemas.openxmlformats.org/officeDocument/2006/relationships/worksheet" Target="/xl/worksheets/sheet1.xml" Id="R4f617ede6b8d4a0a" /><Relationship Type="http://schemas.openxmlformats.org/officeDocument/2006/relationships/worksheet" Target="/xl/worksheets/sheet2.xml" Id="R6a63669d20804ee3" /><Relationship Type="http://schemas.openxmlformats.org/officeDocument/2006/relationships/worksheet" Target="/xl/worksheets/sheet3.xml" Id="R69c8acdd15464e52" /><Relationship Type="http://schemas.openxmlformats.org/officeDocument/2006/relationships/worksheet" Target="/xl/worksheets/sheet4.xml" Id="R4eb876924c764e47" /><Relationship Type="http://schemas.openxmlformats.org/officeDocument/2006/relationships/worksheet" Target="/xl/worksheets/sheet5.xml" Id="R45a293defa3d4729" /><Relationship Type="http://schemas.openxmlformats.org/officeDocument/2006/relationships/worksheet" Target="/xl/worksheets/sheet6.xml" Id="Re6673b8b988242df" /><Relationship Type="http://schemas.microsoft.com/office/2017/10/relationships/person" Target="/xl/persons/person.xml" Id="R10748526ba7742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5bdc75b7e14fe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2402db6632a45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核心非车COR在2025年升破100%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整体COR</c:v>
          </c:tx>
          <c:marker>
            <c:symbol val="none"/>
          </c:marker>
          <c:cat>
            <c:strRef>
              <c:f>'Trend'!$A$11:$A$13</c:f>
              <c:strCache>
                <c:ptCount val="0"/>
              </c:strCache>
            </c:strRef>
          </c:cat>
          <c:val>
            <c:numRef>
              <c:f>'Trend'!$B$11:$B$13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车险COR</c:v>
          </c:tx>
          <c:marker>
            <c:symbol val="none"/>
          </c:marker>
          <c:cat>
            <c:strRef>
              <c:f>'Trend'!$A$11:$A$13</c:f>
              <c:strCache>
                <c:ptCount val="0"/>
              </c:strCache>
            </c:strRef>
          </c:cat>
          <c:val>
            <c:numRef>
              <c:f>'Trend'!$C$11:$C$13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核心非车COR</c:v>
          </c:tx>
          <c:marker>
            <c:symbol val="none"/>
          </c:marker>
          <c:cat>
            <c:strRef>
              <c:f>'Trend'!$A$11:$A$13</c:f>
              <c:strCache>
                <c:ptCount val="0"/>
              </c:strCache>
            </c:strRef>
          </c:cat>
          <c:val>
            <c:numRef>
              <c:f>'Trend'!$D$11:$D$13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其他财产险COR</c:v>
          </c:tx>
          <c:marker>
            <c:symbol val="none"/>
          </c:marker>
          <c:cat>
            <c:strRef>
              <c:f>'Trend'!$A$11:$A$13</c:f>
              <c:strCache>
                <c:ptCount val="0"/>
              </c:strCache>
            </c:strRef>
          </c:cat>
          <c:val>
            <c:numRef>
              <c:f>'Trend'!$E$11:$E$13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.03"/>
          <c:min val="0.94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2024→2025整体COR改善桥接（百分点）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改善贡献(pp)</c:v>
          </c:tx>
          <c:cat>
            <c:strRef>
              <c:f>'Bridge'!$H$5:$H$10</c:f>
              <c:strCache>
                <c:ptCount val="0"/>
              </c:strCache>
            </c:strRef>
          </c:cat>
          <c:val>
            <c:numRef>
              <c:f>'Bridge'!$I$5:$I$10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5bdc75b7e14fe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402db6632a45d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FCA0A2D-749B-442F-A24E-F1DE9004829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15T09:40:33.2" personId="{1FCA0A2D-749B-442F-A24E-F1DE9004829F}" id="{9375687A-6404-552F-467A-8E24C67F9C8D}">
    <xltc:text>Source: 中国平安_年报_2023.pdf，PDF第29页（报告印刷页码25），按险种划分的经营业绩表</xltc:text>
  </xltc:threadedComment>
  <xltc:threadedComment ref="B7" dT="2026-08-15T09:40:33.209" personId="{1FCA0A2D-749B-442F-A24E-F1DE9004829F}" id="{1091796B-E5F2-4E61-2BC7-DD9D5325A1CE}">
    <xltc:text>Source: 中国平安_年报_2023.pdf，PDF第29页（报告印刷页码25），按险种划分的经营业绩表</xltc:text>
  </xltc:threadedComment>
  <xltc:threadedComment ref="B8" dT="2026-08-15T09:40:33.21" personId="{1FCA0A2D-749B-442F-A24E-F1DE9004829F}" id="{B69AE5F6-3386-B23A-5DA9-2DB0D2FC06E8}">
    <xltc:text>Source: 中国平安_年报_2023.pdf，PDF第29页（报告印刷页码25），按险种划分的经营业绩表</xltc:text>
  </xltc:threadedComment>
  <xltc:threadedComment ref="B11" dT="2026-08-15T09:40:33.21" personId="{1FCA0A2D-749B-442F-A24E-F1DE9004829F}" id="{8705C011-D996-A44E-7CAE-637B2B929CE1}">
    <xltc:text>Source: 中国平安_年报_2023.pdf，PDF第29页（报告印刷页码25），按险种划分的经营业绩表</xltc:text>
  </xltc:threadedComment>
  <xltc:threadedComment ref="B12" dT="2026-08-15T09:40:33.21" personId="{1FCA0A2D-749B-442F-A24E-F1DE9004829F}" id="{5133486F-762F-A5EE-1A0B-E9A17E8F8F88}">
    <xltc:text>Source: 中国平安_年报_2023.pdf，PDF第29页（报告印刷页码25），按险种划分的经营业绩表</xltc:text>
  </xltc:threadedComment>
  <xltc:threadedComment ref="B13" dT="2026-08-15T09:40:33.21" personId="{1FCA0A2D-749B-442F-A24E-F1DE9004829F}" id="{D2296E34-FF22-FCFA-7EA6-4CE60BA68A40}">
    <xltc:text>Source: 中国平安_年报_2023.pdf，PDF第29页（报告印刷页码25），按险种划分的经营业绩表</xltc:text>
  </xltc:threadedComment>
  <xltc:threadedComment ref="B5" dT="2026-08-15T09:40:33.21" personId="{1FCA0A2D-749B-442F-A24E-F1DE9004829F}" id="{40EE972B-E12E-C7AA-9DF9-C99E40F26F06}">
    <xltc:text>Source: 平安产险_年度信息披露报告_2023.pdf，PDF第118页，分部报告（2023年度）</xltc:text>
  </xltc:threadedComment>
  <xltc:threadedComment ref="B10" dT="2026-08-15T09:40:33.211" personId="{1FCA0A2D-749B-442F-A24E-F1DE9004829F}" id="{70D3D3A8-B002-D5B9-A2C3-07AFEF7F2CFF}">
    <xltc:text>Source: 平安产险_年度信息披露报告_2023.pdf，PDF第118页，分部报告（2023年度）</xltc:text>
  </xltc:threadedComment>
  <xltc:threadedComment ref="B15" dT="2026-08-15T09:40:33.212" personId="{1FCA0A2D-749B-442F-A24E-F1DE9004829F}" id="{696A0167-1BF6-9B83-FD5E-001AD9CC07E5}">
    <xltc:text>Source: 平安产险_年度信息披露报告_2023.pdf，PDF第118页，分部报告（2023年度）</xltc:text>
  </xltc:threadedComment>
  <xltc:threadedComment ref="B16" dT="2026-08-15T09:40:33.212" personId="{1FCA0A2D-749B-442F-A24E-F1DE9004829F}" id="{67F6FD41-8AED-CF99-3C97-D4B3D12FC870}">
    <xltc:text>Source: 平安产险_年度信息披露报告_2023.pdf，PDF第118页，分部报告（2023年度）</xltc:text>
  </xltc:threadedComment>
  <xltc:threadedComment ref="B17" dT="2026-08-15T09:40:33.212" personId="{1FCA0A2D-749B-442F-A24E-F1DE9004829F}" id="{56A9785B-8685-1B2F-05C2-5D317CD08741}">
    <xltc:text>Source: 平安产险_年度信息披露报告_2023.pdf，PDF第118页，分部报告（2023年度）</xltc:text>
  </xltc:threadedComment>
  <xltc:threadedComment ref="B18" dT="2026-08-15T09:40:33.212" personId="{1FCA0A2D-749B-442F-A24E-F1DE9004829F}" id="{96C86FF9-ACFC-39D5-AB72-FE0BFD453E22}">
    <xltc:text>Source: 平安产险_年度信息披露报告_2023.pdf，PDF第118页，分部报告（2023年度）</xltc:text>
  </xltc:threadedComment>
  <xltc:threadedComment ref="B19" dT="2026-08-15T09:40:33.212" personId="{1FCA0A2D-749B-442F-A24E-F1DE9004829F}" id="{BDE4D418-C4EA-9C43-6DA0-B4BAE7E44104}">
    <xltc:text>Source: 平安产险_年度信息披露报告_2023.pdf，PDF第118页，分部报告（2023年度）</xltc:text>
  </xltc:threadedComment>
  <xltc:threadedComment ref="B20" dT="2026-08-15T09:40:33.212" personId="{1FCA0A2D-749B-442F-A24E-F1DE9004829F}" id="{32A4616D-1710-8C95-A85B-320F589D74F0}">
    <xltc:text>Source: 平安产险_年度信息披露报告_2023.pdf，PDF第118页，分部报告（2023年度）</xltc:text>
  </xltc:threadedComment>
  <xltc:threadedComment ref="B21" dT="2026-08-15T09:40:33.213" personId="{1FCA0A2D-749B-442F-A24E-F1DE9004829F}" id="{8ED192EC-D328-8A45-EDD8-1629120AAB26}">
    <xltc:text>Source: 平安产险_年度信息披露报告_2023.pdf，PDF第118页，分部报告（2023年度）</xltc:text>
  </xltc:threadedComment>
  <xltc:threadedComment ref="B22" dT="2026-08-15T09:40:33.213" personId="{1FCA0A2D-749B-442F-A24E-F1DE9004829F}" id="{1D31ABD0-C4F2-5CB0-BAC4-BACD4A916DC8}">
    <xltc:text>Source: 平安产险_年度信息披露报告_2023.pdf，PDF第118页，分部报告（2023年度）</xltc:text>
  </xltc:threadedComment>
  <xltc:threadedComment ref="C6" dT="2026-08-15T09:40:33.213" personId="{1FCA0A2D-749B-442F-A24E-F1DE9004829F}" id="{E33ED995-A1A3-F786-FC0A-C792BFB8BE96}">
    <xltc:text>Source: 中国平安_年报_2024.pdf，PDF第45页（报告印刷页码41），按险种划分的经营业绩表</xltc:text>
  </xltc:threadedComment>
  <xltc:threadedComment ref="C7" dT="2026-08-15T09:40:33.213" personId="{1FCA0A2D-749B-442F-A24E-F1DE9004829F}" id="{2A1AF1BB-ED77-0B78-DD5B-713936CE7D36}">
    <xltc:text>Source: 中国平安_年报_2024.pdf，PDF第45页（报告印刷页码41），按险种划分的经营业绩表</xltc:text>
  </xltc:threadedComment>
  <xltc:threadedComment ref="C8" dT="2026-08-15T09:40:33.213" personId="{1FCA0A2D-749B-442F-A24E-F1DE9004829F}" id="{CA88C7C8-AC04-B90C-E471-E5F32D3FA5C5}">
    <xltc:text>Source: 中国平安_年报_2024.pdf，PDF第45页（报告印刷页码41），按险种划分的经营业绩表</xltc:text>
  </xltc:threadedComment>
  <xltc:threadedComment ref="C11" dT="2026-08-15T09:40:33.213" personId="{1FCA0A2D-749B-442F-A24E-F1DE9004829F}" id="{EAA2CF30-3F78-EF94-1CEF-BDC7B1F7ED67}">
    <xltc:text>Source: 中国平安_年报_2024.pdf，PDF第45页（报告印刷页码41），按险种划分的经营业绩表</xltc:text>
  </xltc:threadedComment>
  <xltc:threadedComment ref="C12" dT="2026-08-15T09:40:33.213" personId="{1FCA0A2D-749B-442F-A24E-F1DE9004829F}" id="{CD763FC5-B262-5CC0-4346-08B496900B15}">
    <xltc:text>Source: 中国平安_年报_2024.pdf，PDF第45页（报告印刷页码41），按险种划分的经营业绩表</xltc:text>
  </xltc:threadedComment>
  <xltc:threadedComment ref="C13" dT="2026-08-15T09:40:33.213" personId="{1FCA0A2D-749B-442F-A24E-F1DE9004829F}" id="{E7D28075-54E9-D23F-C5DF-59DE3FACECDA}">
    <xltc:text>Source: 中国平安_年报_2024.pdf，PDF第45页（报告印刷页码41），按险种划分的经营业绩表</xltc:text>
  </xltc:threadedComment>
  <xltc:threadedComment ref="C5" dT="2026-08-15T09:40:33.213" personId="{1FCA0A2D-749B-442F-A24E-F1DE9004829F}" id="{6290756C-5B45-5D2E-B839-848DC5C92ED8}">
    <xltc:text>Source: 平安产险_年度信息披露报告_2025.pdf，PDF第119页，分部报告（2024年度比较数）</xltc:text>
  </xltc:threadedComment>
  <xltc:threadedComment ref="C10" dT="2026-08-15T09:40:33.213" personId="{1FCA0A2D-749B-442F-A24E-F1DE9004829F}" id="{1A048036-239D-BE1A-E15B-D9D81D6056DA}">
    <xltc:text>Source: 平安产险_年度信息披露报告_2025.pdf，PDF第119页，分部报告（2024年度比较数）</xltc:text>
  </xltc:threadedComment>
  <xltc:threadedComment ref="C15" dT="2026-08-15T09:40:33.213" personId="{1FCA0A2D-749B-442F-A24E-F1DE9004829F}" id="{D07D3318-14B5-BF8B-F351-88CD375F2DE3}">
    <xltc:text>Source: 平安产险_年度信息披露报告_2025.pdf，PDF第119页，分部报告（2024年度比较数）</xltc:text>
  </xltc:threadedComment>
  <xltc:threadedComment ref="C16" dT="2026-08-15T09:40:33.213" personId="{1FCA0A2D-749B-442F-A24E-F1DE9004829F}" id="{CBBBE8C9-042F-CEAF-F2EA-DCA01845DD59}">
    <xltc:text>Source: 平安产险_年度信息披露报告_2025.pdf，PDF第119页，分部报告（2024年度比较数）</xltc:text>
  </xltc:threadedComment>
  <xltc:threadedComment ref="C17" dT="2026-08-15T09:40:33.213" personId="{1FCA0A2D-749B-442F-A24E-F1DE9004829F}" id="{460EE893-64CE-31EB-8AB2-BB6F11EF9647}">
    <xltc:text>Source: 平安产险_年度信息披露报告_2025.pdf，PDF第119页，分部报告（2024年度比较数）</xltc:text>
  </xltc:threadedComment>
  <xltc:threadedComment ref="C18" dT="2026-08-15T09:40:33.213" personId="{1FCA0A2D-749B-442F-A24E-F1DE9004829F}" id="{2E7372EE-DD8A-5F6D-E811-A09246DF2456}">
    <xltc:text>Source: 平安产险_年度信息披露报告_2025.pdf，PDF第119页，分部报告（2024年度比较数）</xltc:text>
  </xltc:threadedComment>
  <xltc:threadedComment ref="C19" dT="2026-08-15T09:40:33.213" personId="{1FCA0A2D-749B-442F-A24E-F1DE9004829F}" id="{86BA505E-BCA4-B8AA-965F-A2B3EF76434D}">
    <xltc:text>Source: 平安产险_年度信息披露报告_2025.pdf，PDF第119页，分部报告（2024年度比较数）</xltc:text>
  </xltc:threadedComment>
  <xltc:threadedComment ref="C20" dT="2026-08-15T09:40:33.213" personId="{1FCA0A2D-749B-442F-A24E-F1DE9004829F}" id="{9BF5EF42-93D9-4A0F-0DA3-91AF8C966B07}">
    <xltc:text>Source: 平安产险_年度信息披露报告_2025.pdf，PDF第119页，分部报告（2024年度比较数）</xltc:text>
  </xltc:threadedComment>
  <xltc:threadedComment ref="C21" dT="2026-08-15T09:40:33.213" personId="{1FCA0A2D-749B-442F-A24E-F1DE9004829F}" id="{CF178C61-B652-271D-9DA0-0E7B407189FF}">
    <xltc:text>Source: 平安产险_年度信息披露报告_2025.pdf，PDF第119页，分部报告（2024年度比较数）</xltc:text>
  </xltc:threadedComment>
  <xltc:threadedComment ref="C22" dT="2026-08-15T09:40:33.213" personId="{1FCA0A2D-749B-442F-A24E-F1DE9004829F}" id="{308F6F87-B551-B71A-C7EA-31075306880A}">
    <xltc:text>Source: 平安产险_年度信息披露报告_2025.pdf，PDF第119页，分部报告（2024年度比较数）</xltc:text>
  </xltc:threadedComment>
  <xltc:threadedComment ref="D6" dT="2026-08-15T09:40:33.214" personId="{1FCA0A2D-749B-442F-A24E-F1DE9004829F}" id="{6A320C02-7A83-AD38-9143-239B6922716E}">
    <xltc:text>Source: 中国平安_年报_2025.pdf，PDF第56页（报告印刷页码52），按险种划分的经营业绩表</xltc:text>
  </xltc:threadedComment>
  <xltc:threadedComment ref="D9" dT="2026-08-15T09:40:33.214" personId="{1FCA0A2D-749B-442F-A24E-F1DE9004829F}" id="{5605765C-7B73-9635-3DB3-250D785198F1}">
    <xltc:text>Source: 中国平安_年报_2025.pdf，PDF第56页（报告印刷页码52），按险种划分的经营业绩表</xltc:text>
  </xltc:threadedComment>
  <xltc:threadedComment ref="D11" dT="2026-08-15T09:40:33.214" personId="{1FCA0A2D-749B-442F-A24E-F1DE9004829F}" id="{7F538983-7559-6BF8-5CD3-424AFCFD5F91}">
    <xltc:text>Source: 中国平安_年报_2025.pdf，PDF第56页（报告印刷页码52），按险种划分的经营业绩表</xltc:text>
  </xltc:threadedComment>
  <xltc:threadedComment ref="D12" dT="2026-08-15T09:40:33.214" personId="{1FCA0A2D-749B-442F-A24E-F1DE9004829F}" id="{FA6D5A2F-6892-D624-6018-05995426B32E}">
    <xltc:text>Source: 中国平安_年报_2025.pdf，PDF第56页（报告印刷页码52），按险种划分的经营业绩表</xltc:text>
  </xltc:threadedComment>
  <xltc:threadedComment ref="D13" dT="2026-08-15T09:40:33.214" personId="{1FCA0A2D-749B-442F-A24E-F1DE9004829F}" id="{DDA8465E-FDF7-4090-A497-50FAD5F0E67A}">
    <xltc:text>Source: 中国平安_年报_2025.pdf，PDF第56页（报告印刷页码52），按险种划分的经营业绩表</xltc:text>
  </xltc:threadedComment>
  <xltc:threadedComment ref="D5" dT="2026-08-15T09:40:33.214" personId="{1FCA0A2D-749B-442F-A24E-F1DE9004829F}" id="{42432956-4912-A535-E0BF-D436AA64EE6F}">
    <xltc:text>Source: 平安产险_年度信息披露报告_2025.pdf，PDF第117页，分部报告（2025年度）</xltc:text>
  </xltc:threadedComment>
  <xltc:threadedComment ref="D10" dT="2026-08-15T09:40:33.214" personId="{1FCA0A2D-749B-442F-A24E-F1DE9004829F}" id="{B9145D5F-A62F-9FCC-2EF6-893333CDA474}">
    <xltc:text>Source: 平安产险_年度信息披露报告_2025.pdf，PDF第117页，分部报告（2025年度）</xltc:text>
  </xltc:threadedComment>
  <xltc:threadedComment ref="D15" dT="2026-08-15T09:40:33.214" personId="{1FCA0A2D-749B-442F-A24E-F1DE9004829F}" id="{B06156DF-9937-DD15-72EE-DFC08AFC1375}">
    <xltc:text>Source: 平安产险_年度信息披露报告_2025.pdf，PDF第117页，分部报告（2025年度）</xltc:text>
  </xltc:threadedComment>
  <xltc:threadedComment ref="D16" dT="2026-08-15T09:40:33.214" personId="{1FCA0A2D-749B-442F-A24E-F1DE9004829F}" id="{918A4774-BAF5-F5D5-116C-A5FC21EB9B3A}">
    <xltc:text>Source: 平安产险_年度信息披露报告_2025.pdf，PDF第117页，分部报告（2025年度）</xltc:text>
  </xltc:threadedComment>
  <xltc:threadedComment ref="D17" dT="2026-08-15T09:40:33.214" personId="{1FCA0A2D-749B-442F-A24E-F1DE9004829F}" id="{906FC5DC-D276-7D0A-C7A4-3B81A5C3FACB}">
    <xltc:text>Source: 平安产险_年度信息披露报告_2025.pdf，PDF第117页，分部报告（2025年度）</xltc:text>
  </xltc:threadedComment>
  <xltc:threadedComment ref="D18" dT="2026-08-15T09:40:33.214" personId="{1FCA0A2D-749B-442F-A24E-F1DE9004829F}" id="{DD2D97D5-FB42-CA5C-F9EE-B312B2CBA637}">
    <xltc:text>Source: 平安产险_年度信息披露报告_2025.pdf，PDF第117页，分部报告（2025年度）</xltc:text>
  </xltc:threadedComment>
  <xltc:threadedComment ref="D19" dT="2026-08-15T09:40:33.214" personId="{1FCA0A2D-749B-442F-A24E-F1DE9004829F}" id="{16A4D2FD-8C46-59B1-48F4-48FC9A44F31A}">
    <xltc:text>Source: 平安产险_年度信息披露报告_2025.pdf，PDF第117页，分部报告（2025年度）</xltc:text>
  </xltc:threadedComment>
  <xltc:threadedComment ref="D20" dT="2026-08-15T09:40:33.214" personId="{1FCA0A2D-749B-442F-A24E-F1DE9004829F}" id="{7CDDEE79-7A94-FB4B-426C-8B8C8BE03F25}">
    <xltc:text>Source: 平安产险_年度信息披露报告_2025.pdf，PDF第117页，分部报告（2025年度）</xltc:text>
  </xltc:threadedComment>
  <xltc:threadedComment ref="D21" dT="2026-08-15T09:40:33.214" personId="{1FCA0A2D-749B-442F-A24E-F1DE9004829F}" id="{0E380D25-AE25-37A9-9B74-441D97B8CF4C}">
    <xltc:text>Source: 平安产险_年度信息披露报告_2025.pdf，PDF第117页，分部报告（2025年度）</xltc:text>
  </xltc:threadedComment>
  <xltc:threadedComment ref="D22" dT="2026-08-15T09:40:33.214" personId="{1FCA0A2D-749B-442F-A24E-F1DE9004829F}" id="{E1043B6F-A59A-73CF-BCC3-710B246510ED}">
    <xltc:text>Source: 平安产险_年度信息披露报告_2025.pdf，PDF第117页，分部报告（2025年度）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46aab6868cf4778" /><Relationship Type="http://schemas.openxmlformats.org/officeDocument/2006/relationships/vmlDrawing" Target="/xl/drawings/vmldrawing.vml" Id="Ra0b9639d7e724001" /><Relationship Type="http://schemas.microsoft.com/office/2017/10/relationships/threadedComment" Target="/xl/threadedcomments/threadedcomment.xml" Id="R3d5f3f0a8d764b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370e0a0e4844b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d66c28c2ce242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1" hidden="0" customWidth="1"/>
    <x:col min="4" max="4" width="15" hidden="0" customWidth="1"/>
    <x:col min="5" max="5" width="18" hidden="0" customWidth="1"/>
    <x:col min="6" max="6" width="38" hidden="0" customWidth="1"/>
    <x:col min="7" max="7" width="14" hidden="0" customWidth="1"/>
    <x:col min="8" max="8" width="24" hidden="0" customWidth="1"/>
  </x:cols>
  <x:sheetData>
    <x:row r="1" ht="21.600000381469727" hidden="0" customHeight="1">
      <x:c r="A1" s="3" t="str">
        <x:v>阶段3-4｜非车反向压力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结论口径：2023–2025 IFRS 17可比；2024→2025桥接为当前经营反转重点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7" t="str">
        <x:v>指标</x:v>
      </x:c>
      <x:c r="B4" s="17" t="str">
        <x:v>结果</x:v>
      </x:c>
      <x:c r="C4" s="17" t="str">
        <x:v>单位</x:v>
      </x:c>
      <x:c r="D4" s="17" t="str">
        <x:v>期间</x:v>
      </x:c>
      <x:c r="E4" s="17" t="str">
        <x:v>判断</x:v>
      </x:c>
      <x:c r="F4" s="17" t="str">
        <x:v>经营含义</x:v>
      </x:c>
      <x:c r="G4" s="17" t="str">
        <x:v>状态</x:v>
      </x:c>
      <x:c r="H4" s="17" t="str">
        <x:v>来源</x:v>
      </x:c>
    </x:row>
    <x:row r="5" ht="15" hidden="0" customHeight="1">
      <x:c r="A5" s="21" t="str">
        <x:v>整体COR改善</x:v>
      </x:c>
      <x:c r="B5" s="53" t="n">
        <x:f>'Bridge'!B14</x:f>
        <x:v>1.497256267151692</x:v>
      </x:c>
      <x:c r="C5" s="21" t="str">
        <x:v>pp</x:v>
      </x:c>
      <x:c r="D5" s="21" t="str">
        <x:v>2024→2025</x:v>
      </x:c>
      <x:c r="E5" s="21" t="str">
        <x:v>整体仍改善</x:v>
      </x:c>
      <x:c r="F5" s="21" t="str">
        <x:v>净改善小于车险+保证险毛改善</x:v>
      </x:c>
      <x:c r="G5" s="21" t="str">
        <x:v>已勾稽</x:v>
      </x:c>
      <x:c r="H5" s="21" t="str">
        <x:v>S24B/S25B</x:v>
      </x:c>
    </x:row>
    <x:row r="6" ht="15" hidden="0" customHeight="1">
      <x:c r="A6" s="21" t="str">
        <x:v>车险+保证险毛改善</x:v>
      </x:c>
      <x:c r="B6" s="53" t="n">
        <x:f>'Bridge'!B15</x:f>
        <x:v>2.2155268316903114</x:v>
      </x:c>
      <x:c r="C6" s="21" t="str">
        <x:v>pp</x:v>
      </x:c>
      <x:c r="D6" s="21" t="str">
        <x:v>2024→2025</x:v>
      </x:c>
      <x:c r="E6" s="21" t="str">
        <x:v>改善来源集中</x:v>
      </x:c>
      <x:c r="F6" s="21" t="str">
        <x:v>不能把全部改善归因于普遍能力</x:v>
      </x:c>
      <x:c r="G6" s="21" t="str">
        <x:v>已勾稽</x:v>
      </x:c>
      <x:c r="H6" s="21" t="str">
        <x:v>S24B/S25B</x:v>
      </x:c>
    </x:row>
    <x:row r="7" ht="15" hidden="0" customHeight="1">
      <x:c r="A7" s="21" t="str">
        <x:v>核心非车反向压力</x:v>
      </x:c>
      <x:c r="B7" s="53" t="n">
        <x:f>-'Bridge'!B16</x:f>
        <x:v>0.7182705645386241</x:v>
      </x:c>
      <x:c r="C7" s="21" t="str">
        <x:v>pp</x:v>
      </x:c>
      <x:c r="D7" s="21" t="str">
        <x:v>2024→2025</x:v>
      </x:c>
      <x:c r="E7" s="21" t="str">
        <x:v>明显抵消</x:v>
      </x:c>
      <x:c r="F7" s="21" t="str">
        <x:v>核心非车是反向项</x:v>
      </x:c>
      <x:c r="G7" s="21" t="str">
        <x:v>已勾稽</x:v>
      </x:c>
      <x:c r="H7" s="21" t="str">
        <x:v>S24A/S25A/S24B/S25B</x:v>
      </x:c>
    </x:row>
    <x:row r="8" ht="15" hidden="0" customHeight="1">
      <x:c r="A8" s="21" t="str">
        <x:v>核心非车抵消比例</x:v>
      </x:c>
      <x:c r="B8" s="52" t="n">
        <x:f>'Bridge'!B17</x:f>
        <x:v>0.3241985401687181</x:v>
      </x:c>
      <x:c r="C8" s="21" t="str">
        <x:v>%</x:v>
      </x:c>
      <x:c r="D8" s="21" t="str">
        <x:v>2024→2025</x:v>
      </x:c>
      <x:c r="E8" s="21" t="str">
        <x:v>约三分之一</x:v>
      </x:c>
      <x:c r="F8" s="21" t="str">
        <x:v>改善持续性受非车约束</x:v>
      </x:c>
      <x:c r="G8" s="21" t="str">
        <x:v>推算</x:v>
      </x:c>
      <x:c r="H8" s="21" t="str">
        <x:v>同左</x:v>
      </x:c>
    </x:row>
    <x:row r="9" ht="15" hidden="0" customHeight="1">
      <x:c r="A9" s="21" t="str">
        <x:v>核心非车COR恶化</x:v>
      </x:c>
      <x:c r="B9" s="53" t="n">
        <x:f>'Bridge'!B18</x:f>
        <x:v>2.3886271377780433</x:v>
      </x:c>
      <x:c r="C9" s="21" t="str">
        <x:v>pp</x:v>
      </x:c>
      <x:c r="D9" s="21" t="str">
        <x:v>2024→2025</x:v>
      </x:c>
      <x:c r="E9" s="21" t="str">
        <x:v>升破100%</x:v>
      </x:c>
      <x:c r="F9" s="21" t="str">
        <x:v>承保结果由正转负</x:v>
      </x:c>
      <x:c r="G9" s="21" t="str">
        <x:v>推算</x:v>
      </x:c>
      <x:c r="H9" s="21" t="str">
        <x:v>同左</x:v>
      </x:c>
    </x:row>
    <x:row r="10" ht="15" hidden="0" customHeight="1">
      <x:c r="A10" s="21" t="str">
        <x:v>核心非车利润变动</x:v>
      </x:c>
      <x:c r="B10" s="54" t="n">
        <x:f>'Bridge'!B19</x:f>
        <x:v>-2384.742172</x:v>
      </x:c>
      <x:c r="C10" s="21" t="str">
        <x:v>百万元</x:v>
      </x:c>
      <x:c r="D10" s="21" t="str">
        <x:v>2024→2025</x:v>
      </x:c>
      <x:c r="E10" s="21" t="str">
        <x:v>由盈转亏</x:v>
      </x:c>
      <x:c r="F10" s="21" t="str">
        <x:v>需优先分解量价与赔付</x:v>
      </x:c>
      <x:c r="G10" s="21" t="str">
        <x:v>推算</x:v>
      </x:c>
      <x:c r="H10" s="21" t="str">
        <x:v>同左</x:v>
      </x:c>
    </x:row>
    <x:row r="11" ht="15" hidden="0" customHeight="1">
      <x:c r="A11" s="21" t="str">
        <x:v>责任险占其他财产险拖累</x:v>
      </x:c>
      <x:c r="B11" s="52" t="n">
        <x:f>'Bridge'!D8/('Bridge'!D8+'Bridge'!D9)</x:f>
        <x:v>0.6559922078717176</x:v>
      </x:c>
      <x:c r="C11" s="21" t="str">
        <x:v>%</x:v>
      </x:c>
      <x:c r="D11" s="21" t="str">
        <x:v>2024→2025</x:v>
      </x:c>
      <x:c r="E11" s="21" t="str">
        <x:v>主要明细压力</x:v>
      </x:c>
      <x:c r="F11" s="21" t="str">
        <x:v>责任险需单独治理</x:v>
      </x:c>
      <x:c r="G11" s="21" t="str">
        <x:v>推算</x:v>
      </x:c>
      <x:c r="H11" s="21" t="str">
        <x:v>S24A/S25A/S24B/S25B</x:v>
      </x:c>
    </x:row>
    <x:row r="12"/>
    <x:row r="13"/>
    <x:row r="14" ht="15" hidden="0" customHeight="1">
      <x:c r="A14" s="11" t="str">
        <x:v>核心判断</x:v>
      </x:c>
      <x:c r="B14" s="11"/>
      <x:c r="C14" s="11"/>
      <x:c r="D14" s="11"/>
      <x:c r="E14" s="11"/>
      <x:c r="F14" s="11"/>
      <x:c r="G14" s="11"/>
      <x:c r="H14" s="11"/>
    </x:row>
    <x:row r="15" ht="34" hidden="0" customHeight="1">
      <x:c r="A15" s="37" t="str">
        <x:v>1. 2024→2025，车险与保证险合计带来约2.22pp毛改善，但核心非车抵消约0.72pp，最终整体只改善约1.50pp。</x:v>
      </x:c>
      <x:c r="B15" s="37"/>
      <x:c r="C15" s="37"/>
      <x:c r="D15" s="37"/>
      <x:c r="E15" s="37"/>
      <x:c r="F15" s="37"/>
      <x:c r="G15" s="37"/>
      <x:c r="H15" s="37"/>
    </x:row>
    <x:row r="16" ht="34" hidden="0" customHeight="1">
      <x:c r="A16" s="37" t="str">
        <x:v>2. 核心非车COR从约98.44%升至100.82%，承保利润由约15.11亿元转为约8.74亿元亏损。</x:v>
      </x:c>
      <x:c r="B16" s="37"/>
      <x:c r="C16" s="37"/>
      <x:c r="D16" s="37"/>
      <x:c r="E16" s="37"/>
      <x:c r="F16" s="37"/>
      <x:c r="G16" s="37"/>
      <x:c r="H16" s="37"/>
    </x:row>
    <x:row r="17" ht="34" hidden="0" customHeight="1">
      <x:c r="A17" s="37" t="str">
        <x:v>3. 其他财产险反向贡献约0.44pp，其中责任险约占66%；意健险另造成约0.28pp反向压力。</x:v>
      </x:c>
      <x:c r="B17" s="37"/>
      <x:c r="C17" s="37"/>
      <x:c r="D17" s="37"/>
      <x:c r="E17" s="37"/>
      <x:c r="F17" s="37"/>
      <x:c r="G17" s="37"/>
      <x:c r="H17" s="37"/>
    </x:row>
    <x:row r="18" ht="34" hidden="0" customHeight="1">
      <x:c r="A18" s="37" t="str">
        <x:v>4. 责任险保险服务收入基本持平，但亏损由6.44亿元扩大至16.42亿元，问题更接近单位经济性恶化，而非单纯规模增长。</x:v>
      </x:c>
      <x:c r="B18" s="37"/>
      <x:c r="C18" s="37"/>
      <x:c r="D18" s="37"/>
      <x:c r="E18" s="37"/>
      <x:c r="F18" s="37"/>
      <x:c r="G18" s="37"/>
      <x:c r="H18" s="37"/>
    </x:row>
    <x:row r="19" ht="34" hidden="0" customHeight="1">
      <x:c r="A19" s="37" t="str">
        <x:v>5. 2025核心非车COR也高于2023年近盈亏平衡水平，不能只解释为2024高基数回归。</x:v>
      </x:c>
      <x:c r="B19" s="37"/>
      <x:c r="C19" s="37"/>
      <x:c r="D19" s="37"/>
      <x:c r="E19" s="37"/>
      <x:c r="F19" s="37"/>
      <x:c r="G19" s="37"/>
      <x:c r="H19" s="37"/>
    </x:row>
    <x:row r="20"/>
    <x:row r="21"/>
    <x:row r="22" ht="15" hidden="0" customHeight="1">
      <x:c r="A22" s="11" t="str">
        <x:v>下一步内部诊断动作（不含效果假设）</x:v>
      </x:c>
      <x:c r="B22" s="11"/>
      <x:c r="C22" s="11"/>
      <x:c r="D22" s="11"/>
      <x:c r="E22" s="11"/>
      <x:c r="F22" s="11"/>
      <x:c r="G22" s="11"/>
      <x:c r="H22" s="11"/>
    </x:row>
    <x:row r="23" ht="34" hidden="0" customHeight="1">
      <x:c r="A23" s="58" t="str">
        <x:v>责任险：按产品/地区/渠道/保单年度拆出频次、案均赔款、准备金发展与续保提价，优先检查亏损扩大来源。</x:v>
      </x:c>
      <x:c r="B23" s="58"/>
      <x:c r="C23" s="58"/>
      <x:c r="D23" s="58"/>
      <x:c r="E23" s="58"/>
      <x:c r="F23" s="58"/>
      <x:c r="G23" s="58"/>
      <x:c r="H23" s="58"/>
    </x:row>
    <x:row r="24" ht="34" hidden="0" customHeight="1">
      <x:c r="A24" s="58" t="str">
        <x:v>意健险：核对2025收入扩张是否集中于高赔付渠道或产品，并区分赔付率反弹与费用投放。</x:v>
      </x:c>
      <x:c r="B24" s="58"/>
      <x:c r="C24" s="58"/>
      <x:c r="D24" s="58"/>
      <x:c r="E24" s="58"/>
      <x:c r="F24" s="58"/>
      <x:c r="G24" s="58"/>
      <x:c r="H24" s="58"/>
    </x:row>
    <x:row r="25" ht="34" hidden="0" customHeight="1">
      <x:c r="A25" s="58" t="str">
        <x:v>其他财产险：责任险以外部分仍减少整体增益，需建立企业财产、货运、农险等分险种利润桥接。</x:v>
      </x:c>
      <x:c r="B25" s="58"/>
      <x:c r="C25" s="58"/>
      <x:c r="D25" s="58"/>
      <x:c r="E25" s="58"/>
      <x:c r="F25" s="58"/>
      <x:c r="G25" s="58"/>
      <x:c r="H25" s="58"/>
    </x:row>
    <x:row r="26" ht="34" hidden="0" customHeight="1">
      <x:c r="A26" s="58" t="str">
        <x:v>整体监控：同时呈现车险毛改善、保证险一次性/存量改善和核心非车压力，避免只看整体COR得出普遍改善结论。</x:v>
      </x:c>
      <x:c r="B26" s="58"/>
      <x:c r="C26" s="58"/>
      <x:c r="D26" s="58"/>
      <x:c r="E26" s="58"/>
      <x:c r="F26" s="58"/>
      <x:c r="G26" s="58"/>
      <x:c r="H26" s="58"/>
    </x:row>
  </x:sheetData>
  <x:mergeCells>
    <x:mergeCell ref="A1:H1"/>
    <x:mergeCell ref="A2:H2"/>
    <x:mergeCell ref="A14:H14"/>
    <x:mergeCell ref="A15:H15"/>
    <x:mergeCell ref="A16:H16"/>
    <x:mergeCell ref="A17:H17"/>
    <x:mergeCell ref="A18:H18"/>
    <x:mergeCell ref="A19:H19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4" hidden="0" customWidth="1"/>
  </x:cols>
  <x:sheetData>
    <x:row r="1" ht="21.600000381469727" hidden="0" customHeight="1">
      <x:c r="A1" s="3" t="str">
        <x:v>输入与派生口径</x:v>
      </x:c>
      <x:c r="B1" s="3"/>
      <x:c r="C1" s="3"/>
      <x:c r="D1" s="3"/>
      <x:c r="E1" s="3"/>
      <x:c r="F1" s="3"/>
    </x:row>
    <x:row r="2" ht="15" hidden="0" customHeight="1">
      <x:c r="A2" s="6" t="str">
        <x:v>2023–2025 IFRS 17可比序列；蓝色为跨表公式，黑色为源数据；金额单位人民币百万元</x:v>
      </x:c>
      <x:c r="B2" s="6"/>
      <x:c r="C2" s="6"/>
      <x:c r="D2" s="6"/>
      <x:c r="E2" s="6"/>
      <x:c r="F2" s="6"/>
    </x:row>
    <x:row r="3"/>
    <x:row r="4" ht="15" hidden="0" customHeight="1">
      <x:c r="A4" s="17" t="str">
        <x:v>直接输入</x:v>
      </x:c>
      <x:c r="B4" s="17" t="n">
        <x:v>2023</x:v>
      </x:c>
      <x:c r="C4" s="17" t="n">
        <x:v>2024</x:v>
      </x:c>
      <x:c r="D4" s="17" t="n">
        <x:v>2025</x:v>
      </x:c>
    </x:row>
    <x:row r="5" ht="15" hidden="0" customHeight="1">
      <x:c r="A5" s="21" t="str">
        <x:v>整体保险服务收入</x:v>
      </x:c>
      <x:c r="B5" s="22" t="n">
        <x:v>313457.529726</x:v>
      </x:c>
      <x:c r="C5" s="22" t="n">
        <x:v>328146.308886</x:v>
      </x:c>
      <x:c r="D5" s="22" t="n">
        <x:v>338912.305427</x:v>
      </x:c>
    </x:row>
    <x:row r="6" ht="15" hidden="0" customHeight="1">
      <x:c r="A6" s="21" t="str">
        <x:v>车险保险服务收入</x:v>
      </x:c>
      <x:c r="B6" s="22" t="n">
        <x:v>209538</x:v>
      </x:c>
      <x:c r="C6" s="22" t="n">
        <x:v>220026</x:v>
      </x:c>
      <x:c r="D6" s="22" t="n">
        <x:v>228495</x:v>
      </x:c>
    </x:row>
    <x:row r="7" ht="15" hidden="0" customHeight="1">
      <x:c r="A7" s="21" t="str">
        <x:v>健康险保险服务收入</x:v>
      </x:c>
      <x:c r="B7" s="22" t="n">
        <x:v>10655</x:v>
      </x:c>
      <x:c r="C7" s="22" t="n">
        <x:v>14865</x:v>
      </x:c>
      <x:c r="D7" s="22"/>
    </x:row>
    <x:row r="8" ht="15" hidden="0" customHeight="1">
      <x:c r="A8" s="21" t="str">
        <x:v>意外险保险服务收入</x:v>
      </x:c>
      <x:c r="B8" s="22" t="n">
        <x:v>11224</x:v>
      </x:c>
      <x:c r="C8" s="22" t="n">
        <x:v>11323</x:v>
      </x:c>
      <x:c r="D8" s="22"/>
    </x:row>
    <x:row r="9" ht="15" hidden="0" customHeight="1">
      <x:c r="A9" s="21" t="str">
        <x:v>意健险合并收入（2025披露）</x:v>
      </x:c>
      <x:c r="B9" s="22"/>
      <x:c r="C9" s="22"/>
      <x:c r="D9" s="22" t="n">
        <x:v>32769</x:v>
      </x:c>
    </x:row>
    <x:row r="10" ht="15" hidden="0" customHeight="1">
      <x:c r="A10" s="21" t="str">
        <x:v>保证险保险服务收入</x:v>
      </x:c>
      <x:c r="B10" s="22" t="n">
        <x:v>22002.723838</x:v>
      </x:c>
      <x:c r="C10" s="22" t="n">
        <x:v>11532.507005</x:v>
      </x:c>
      <x:c r="D10" s="22" t="n">
        <x:v>4415.533885</x:v>
      </x:c>
    </x:row>
    <x:row r="11" ht="15" hidden="0" customHeight="1">
      <x:c r="A11" s="21" t="str">
        <x:v>责任险保险服务收入</x:v>
      </x:c>
      <x:c r="B11" s="22" t="n">
        <x:v>21848</x:v>
      </x:c>
      <x:c r="C11" s="22" t="n">
        <x:v>23978</x:v>
      </x:c>
      <x:c r="D11" s="22" t="n">
        <x:v>24052</x:v>
      </x:c>
    </x:row>
    <x:row r="12" ht="15" hidden="0" customHeight="1">
      <x:c r="A12" s="21" t="str">
        <x:v>责任险承保利润</x:v>
      </x:c>
      <x:c r="B12" s="22" t="n">
        <x:v>-1373</x:v>
      </x:c>
      <x:c r="C12" s="22" t="n">
        <x:v>-644</x:v>
      </x:c>
      <x:c r="D12" s="22" t="n">
        <x:v>-1642</x:v>
      </x:c>
    </x:row>
    <x:row r="13" ht="15" hidden="0" customHeight="1">
      <x:c r="A13" s="21" t="str">
        <x:v>责任险COR</x:v>
      </x:c>
      <x:c r="B13" s="23" t="n">
        <x:v>1.063</x:v>
      </x:c>
      <x:c r="C13" s="23" t="n">
        <x:v>1.027</x:v>
      </x:c>
      <x:c r="D13" s="23" t="n">
        <x:v>1.068</x:v>
      </x:c>
    </x:row>
    <x:row r="14" ht="15" hidden="0" customHeight="1">
      <x:c r="A14" s="21" t="str"/>
      <x:c r="B14" s="21"/>
      <x:c r="C14" s="21"/>
      <x:c r="D14" s="21"/>
    </x:row>
    <x:row r="15" ht="15" hidden="0" customHeight="1">
      <x:c r="A15" s="21" t="str">
        <x:v>车险分部营业利润</x:v>
      </x:c>
      <x:c r="B15" s="22" t="n">
        <x:v>4855.286223</x:v>
      </x:c>
      <x:c r="C15" s="22" t="n">
        <x:v>4397.770028</x:v>
      </x:c>
      <x:c r="D15" s="22" t="n">
        <x:v>9697.115678</x:v>
      </x:c>
    </x:row>
    <x:row r="16" ht="15" hidden="0" customHeight="1">
      <x:c r="A16" s="21" t="str">
        <x:v>意健险分部营业利润</x:v>
      </x:c>
      <x:c r="B16" s="22" t="n">
        <x:v>-159.017177</x:v>
      </x:c>
      <x:c r="C16" s="22" t="n">
        <x:v>1097.803331</x:v>
      </x:c>
      <x:c r="D16" s="22" t="n">
        <x:v>188.643174</x:v>
      </x:c>
    </x:row>
    <x:row r="17" ht="15" hidden="0" customHeight="1">
      <x:c r="A17" s="21" t="str">
        <x:v>其他财产险分部营业利润</x:v>
      </x:c>
      <x:c r="B17" s="22" t="n">
        <x:v>252.92308</x:v>
      </x:c>
      <x:c r="C17" s="22" t="n">
        <x:v>465.268033</x:v>
      </x:c>
      <x:c r="D17" s="22" t="n">
        <x:v>-1004.709604</x:v>
      </x:c>
    </x:row>
    <x:row r="18" ht="15" hidden="0" customHeight="1">
      <x:c r="A18" s="21" t="str">
        <x:v>保证险分部营业利润</x:v>
      </x:c>
      <x:c r="B18" s="22" t="n">
        <x:v>-6834.353175</x:v>
      </x:c>
      <x:c r="C18" s="22" t="n">
        <x:v>-247.854406</x:v>
      </x:c>
      <x:c r="D18" s="22" t="n">
        <x:v>2094.629644</x:v>
      </x:c>
    </x:row>
    <x:row r="19" ht="15" hidden="0" customHeight="1">
      <x:c r="A19" s="21" t="str">
        <x:v>车险分部其他收益</x:v>
      </x:c>
      <x:c r="B19" s="22" t="n">
        <x:v>122.862529</x:v>
      </x:c>
      <x:c r="C19" s="22" t="n">
        <x:v>197.267158</x:v>
      </x:c>
      <x:c r="D19" s="22" t="n">
        <x:v>200.736847</x:v>
      </x:c>
    </x:row>
    <x:row r="20" ht="15" hidden="0" customHeight="1">
      <x:c r="A20" s="21" t="str">
        <x:v>意健险分部其他收益</x:v>
      </x:c>
      <x:c r="B20" s="22" t="n">
        <x:v>0.003959</x:v>
      </x:c>
      <x:c r="C20" s="22" t="n">
        <x:v>0.038053</x:v>
      </x:c>
      <x:c r="D20" s="22" t="n">
        <x:v>0.018383</x:v>
      </x:c>
    </x:row>
    <x:row r="21" ht="15" hidden="0" customHeight="1">
      <x:c r="A21" s="21" t="str">
        <x:v>其他财产险分部其他收益</x:v>
      </x:c>
      <x:c r="B21" s="22" t="n">
        <x:v>74.707846</x:v>
      </x:c>
      <x:c r="C21" s="22" t="n">
        <x:v>52.293138</x:v>
      </x:c>
      <x:c r="D21" s="22" t="n">
        <x:v>57.917186</x:v>
      </x:c>
    </x:row>
    <x:row r="22" ht="15" hidden="0" customHeight="1">
      <x:c r="A22" s="21" t="str">
        <x:v>保证险分部其他收益</x:v>
      </x:c>
      <x:c r="B22" s="22" t="n">
        <x:v>0.133849</x:v>
      </x:c>
      <x:c r="C22" s="22" t="n">
        <x:v>0.034672</x:v>
      </x:c>
      <x:c r="D22" s="22" t="n">
        <x:v>0.02219</x:v>
      </x:c>
    </x:row>
    <x:row r="23"/>
    <x:row r="24" ht="15" hidden="0" customHeight="1">
      <x:c r="A24" s="17" t="str">
        <x:v>派生指标</x:v>
      </x:c>
      <x:c r="B24" s="17" t="n">
        <x:v>2023</x:v>
      </x:c>
      <x:c r="C24" s="17" t="n">
        <x:v>2024</x:v>
      </x:c>
      <x:c r="D24" s="17" t="n">
        <x:v>2025</x:v>
      </x:c>
    </x:row>
    <x:row r="25" ht="15" hidden="0" customHeight="1">
      <x:c r="A25" s="21" t="str">
        <x:v>意健险保险服务收入</x:v>
      </x:c>
      <x:c r="B25" s="26" t="n">
        <x:f>IF(B9&gt;0,B9,B7+B8)</x:f>
        <x:v>21879</x:v>
      </x:c>
      <x:c r="C25" s="26" t="n">
        <x:f>IF(C9&gt;0,C9,C7+C8)</x:f>
        <x:v>26188</x:v>
      </x:c>
      <x:c r="D25" s="26" t="n">
        <x:f>IF(D9&gt;0,D9,D7+D8)</x:f>
        <x:v>32769</x:v>
      </x:c>
    </x:row>
    <x:row r="26" ht="15" hidden="0" customHeight="1">
      <x:c r="A26" s="21" t="str">
        <x:v>整体承保利润</x:v>
      </x:c>
      <x:c r="B26" s="26" t="n">
        <x:f>SUM(B15:B18)-SUM(B19:B22)</x:f>
        <x:v>-2082.8692320000005</x:v>
      </x:c>
      <x:c r="C26" s="26" t="n">
        <x:f>SUM(C15:C18)-SUM(C19:C22)</x:f>
        <x:v>5463.353965</x:v>
      </x:c>
      <x:c r="D26" s="26" t="n">
        <x:f>SUM(D15:D18)-SUM(D19:D22)</x:f>
        <x:v>10716.984286000003</x:v>
      </x:c>
    </x:row>
    <x:row r="27" ht="15" hidden="0" customHeight="1">
      <x:c r="A27" s="21" t="str">
        <x:v>车险承保利润</x:v>
      </x:c>
      <x:c r="B27" s="26" t="n">
        <x:f>B15-B19</x:f>
        <x:v>4732.423694</x:v>
      </x:c>
      <x:c r="C27" s="26" t="n">
        <x:f>C15-C19</x:f>
        <x:v>4200.50287</x:v>
      </x:c>
      <x:c r="D27" s="26" t="n">
        <x:f>D15-D19</x:f>
        <x:v>9496.378831</x:v>
      </x:c>
    </x:row>
    <x:row r="28" ht="15" hidden="0" customHeight="1">
      <x:c r="A28" s="21" t="str">
        <x:v>意健险承保利润</x:v>
      </x:c>
      <x:c r="B28" s="26" t="n">
        <x:f>B16-B20</x:f>
        <x:v>-159.021136</x:v>
      </x:c>
      <x:c r="C28" s="26" t="n">
        <x:f>C16-C20</x:f>
        <x:v>1097.765278</x:v>
      </x:c>
      <x:c r="D28" s="26" t="n">
        <x:f>D16-D20</x:f>
        <x:v>188.624791</x:v>
      </x:c>
    </x:row>
    <x:row r="29" ht="15" hidden="0" customHeight="1">
      <x:c r="A29" s="21" t="str">
        <x:v>其他财产险承保利润</x:v>
      </x:c>
      <x:c r="B29" s="26" t="n">
        <x:f>B17-B21</x:f>
        <x:v>178.215234</x:v>
      </x:c>
      <x:c r="C29" s="26" t="n">
        <x:f>C17-C21</x:f>
        <x:v>412.974895</x:v>
      </x:c>
      <x:c r="D29" s="26" t="n">
        <x:f>D17-D21</x:f>
        <x:v>-1062.62679</x:v>
      </x:c>
    </x:row>
    <x:row r="30" ht="15" hidden="0" customHeight="1">
      <x:c r="A30" s="21" t="str">
        <x:v>保证险承保利润</x:v>
      </x:c>
      <x:c r="B30" s="26" t="n">
        <x:f>B18-B22</x:f>
        <x:v>-6834.487024</x:v>
      </x:c>
      <x:c r="C30" s="26" t="n">
        <x:f>C18-C22</x:f>
        <x:v>-247.889078</x:v>
      </x:c>
      <x:c r="D30" s="26" t="n">
        <x:f>D18-D22</x:f>
        <x:v>2094.607454</x:v>
      </x:c>
    </x:row>
    <x:row r="31" ht="15" hidden="0" customHeight="1">
      <x:c r="A31" s="21" t="str">
        <x:v>其他财产险保险服务收入</x:v>
      </x:c>
      <x:c r="B31" s="26" t="n">
        <x:f>B5-B6-B25-B10</x:f>
        <x:v>60037.80588799997</x:v>
      </x:c>
      <x:c r="C31" s="26" t="n">
        <x:f>C5-C6-C25-C10</x:f>
        <x:v>70399.80188100002</x:v>
      </x:c>
      <x:c r="D31" s="26" t="n">
        <x:f>D5-D6-D25-D10</x:f>
        <x:v>73232.77154199999</x:v>
      </x:c>
    </x:row>
    <x:row r="32" ht="15" hidden="0" customHeight="1">
      <x:c r="A32" s="21" t="str">
        <x:v>核心非车收入（剔除保证险）</x:v>
      </x:c>
      <x:c r="B32" s="26" t="n">
        <x:f>B25+B31</x:f>
        <x:v>81916.80588799997</x:v>
      </x:c>
      <x:c r="C32" s="26" t="n">
        <x:f>C25+C31</x:f>
        <x:v>96587.80188100002</x:v>
      </x:c>
      <x:c r="D32" s="26" t="n">
        <x:f>D25+D31</x:f>
        <x:v>106001.77154199999</x:v>
      </x:c>
    </x:row>
    <x:row r="33" ht="15" hidden="0" customHeight="1">
      <x:c r="A33" s="21" t="str">
        <x:v>核心非车承保利润（剔除保证险）</x:v>
      </x:c>
      <x:c r="B33" s="26" t="n">
        <x:f>B28+B29</x:f>
        <x:v>19.194097999999997</x:v>
      </x:c>
      <x:c r="C33" s="26" t="n">
        <x:f>C28+C29</x:f>
        <x:v>1510.7401730000001</x:v>
      </x:c>
      <x:c r="D33" s="26" t="n">
        <x:f>D28+D29</x:f>
        <x:v>-874.0019990000001</x:v>
      </x:c>
    </x:row>
    <x:row r="34" ht="15" hidden="0" customHeight="1">
      <x:c r="A34" s="21" t="str">
        <x:v>整体COR</x:v>
      </x:c>
      <x:c r="B34" s="27" t="n">
        <x:f>1-B26/B5</x:f>
        <x:v>1.0066448211782333</x:v>
      </x:c>
      <x:c r="C34" s="27" t="n">
        <x:f>1-C26/C5</x:f>
        <x:v>0.9833508596103149</x:v>
      </x:c>
      <x:c r="D34" s="27" t="n">
        <x:f>1-D26/D5</x:f>
        <x:v>0.968378296938798</x:v>
      </x:c>
    </x:row>
    <x:row r="35" ht="15" hidden="0" customHeight="1">
      <x:c r="A35" s="21" t="str">
        <x:v>车险COR</x:v>
      </x:c>
      <x:c r="B35" s="27" t="n">
        <x:f>1-B27/B6</x:f>
        <x:v>0.9774149619925742</x:v>
      </x:c>
      <x:c r="C35" s="27" t="n">
        <x:f>1-C27/C6</x:f>
        <x:v>0.9809090613382054</x:v>
      </x:c>
      <x:c r="D35" s="27" t="n">
        <x:f>1-D27/D6</x:f>
        <x:v>0.9584394458040657</x:v>
      </x:c>
    </x:row>
    <x:row r="36" ht="15" hidden="0" customHeight="1">
      <x:c r="A36" s="21" t="str">
        <x:v>意健险COR</x:v>
      </x:c>
      <x:c r="B36" s="27" t="n">
        <x:f>1-B28/B25</x:f>
        <x:v>1.0072682086018556</x:v>
      </x:c>
      <x:c r="C36" s="27" t="n">
        <x:f>1-C28/C25</x:f>
        <x:v>0.9580813625324576</x:v>
      </x:c>
      <x:c r="D36" s="27" t="n">
        <x:f>1-D28/D25</x:f>
        <x:v>0.9942438038695108</x:v>
      </x:c>
    </x:row>
    <x:row r="37" ht="15" hidden="0" customHeight="1">
      <x:c r="A37" s="21" t="str">
        <x:v>其他财产险COR</x:v>
      </x:c>
      <x:c r="B37" s="27" t="n">
        <x:f>1-B29/B31</x:f>
        <x:v>0.9970316164729194</x:v>
      </x:c>
      <x:c r="C37" s="27" t="n">
        <x:f>1-C29/C31</x:f>
        <x:v>0.9941338628239598</x:v>
      </x:c>
      <x:c r="D37" s="27" t="n">
        <x:f>1-D29/D31</x:f>
        <x:v>1.0145102632008207</x:v>
      </x:c>
    </x:row>
    <x:row r="38" ht="15" hidden="0" customHeight="1">
      <x:c r="A38" s="21" t="str">
        <x:v>保证险COR</x:v>
      </x:c>
      <x:c r="B38" s="27" t="n">
        <x:f>1-B30/B10</x:f>
        <x:v>1.3106200429692454</x:v>
      </x:c>
      <x:c r="C38" s="27" t="n">
        <x:f>1-C30/C10</x:f>
        <x:v>1.0214948126970593</x:v>
      </x:c>
      <x:c r="D38" s="27" t="n">
        <x:f>1-D30/D10</x:f>
        <x:v>0.5256275891992164</x:v>
      </x:c>
    </x:row>
    <x:row r="39" ht="15" hidden="0" customHeight="1">
      <x:c r="A39" s="21" t="str">
        <x:v>核心非车COR（剔除保证险）</x:v>
      </x:c>
      <x:c r="B39" s="27" t="n">
        <x:f>1-B33/B32</x:f>
        <x:v>0.9997656879099236</x:v>
      </x:c>
      <x:c r="C39" s="27" t="n">
        <x:f>1-C33/C32</x:f>
        <x:v>0.9843588927009511</x:v>
      </x:c>
      <x:c r="D39" s="27" t="n">
        <x:f>1-D33/D32</x:f>
        <x:v>1.0082451640787315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a0b9639d7e72400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0" hidden="0" customWidth="1"/>
    <x:col min="10" max="10" width="20" hidden="0" customWidth="1"/>
  </x:cols>
  <x:sheetData>
    <x:row r="1" ht="21.600000381469727" hidden="0" customHeight="1">
      <x:c r="A1" s="3" t="str">
        <x:v>2023–2025分部承保趋势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核心非车=意健险+其他财产险，剔除保证险；用于观察可持续压力，不与旧准则2022相连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7" t="str">
        <x:v>年度</x:v>
      </x:c>
      <x:c r="B4" s="17" t="str">
        <x:v>整体COR</x:v>
      </x:c>
      <x:c r="C4" s="17" t="str">
        <x:v>车险COR</x:v>
      </x:c>
      <x:c r="D4" s="17" t="str">
        <x:v>核心非车COR</x:v>
      </x:c>
      <x:c r="E4" s="17" t="str">
        <x:v>意健险COR</x:v>
      </x:c>
      <x:c r="F4" s="17" t="str">
        <x:v>其他财产险COR</x:v>
      </x:c>
      <x:c r="G4" s="17" t="str">
        <x:v>保证险COR</x:v>
      </x:c>
      <x:c r="H4" s="17" t="str">
        <x:v>责任险COR</x:v>
      </x:c>
      <x:c r="I4" s="17" t="str">
        <x:v>核心非车收入</x:v>
      </x:c>
      <x:c r="J4" s="17" t="str">
        <x:v>核心非车利润</x:v>
      </x:c>
    </x:row>
    <x:row r="5" ht="15" hidden="0" customHeight="1">
      <x:c r="A5" s="21" t="n">
        <x:v>2023</x:v>
      </x:c>
      <x:c r="B5" s="34" t="n">
        <x:f>'Inputs'!B34</x:f>
        <x:v>1.0066448211782333</x:v>
      </x:c>
      <x:c r="C5" s="34" t="n">
        <x:f>'Inputs'!B35</x:f>
        <x:v>0.9774149619925742</x:v>
      </x:c>
      <x:c r="D5" s="34" t="n">
        <x:f>'Inputs'!B39</x:f>
        <x:v>0.9997656879099236</x:v>
      </x:c>
      <x:c r="E5" s="34" t="n">
        <x:f>'Inputs'!B36</x:f>
        <x:v>1.0072682086018556</x:v>
      </x:c>
      <x:c r="F5" s="34" t="n">
        <x:f>'Inputs'!B37</x:f>
        <x:v>0.9970316164729194</x:v>
      </x:c>
      <x:c r="G5" s="34" t="n">
        <x:f>'Inputs'!B38</x:f>
        <x:v>1.3106200429692454</x:v>
      </x:c>
      <x:c r="H5" s="34" t="n">
        <x:f>'Inputs'!B13</x:f>
        <x:v>1.063</x:v>
      </x:c>
      <x:c r="I5" s="35" t="n">
        <x:f>'Inputs'!B32</x:f>
        <x:v>81916.80588799997</x:v>
      </x:c>
      <x:c r="J5" s="35" t="n">
        <x:f>'Inputs'!B33</x:f>
        <x:v>19.194097999999997</x:v>
      </x:c>
    </x:row>
    <x:row r="6" ht="15" hidden="0" customHeight="1">
      <x:c r="A6" s="21" t="n">
        <x:v>2024</x:v>
      </x:c>
      <x:c r="B6" s="34" t="n">
        <x:f>'Inputs'!C34</x:f>
        <x:v>0.9833508596103149</x:v>
      </x:c>
      <x:c r="C6" s="34" t="n">
        <x:f>'Inputs'!C35</x:f>
        <x:v>0.9809090613382054</x:v>
      </x:c>
      <x:c r="D6" s="34" t="n">
        <x:f>'Inputs'!C39</x:f>
        <x:v>0.9843588927009511</x:v>
      </x:c>
      <x:c r="E6" s="34" t="n">
        <x:f>'Inputs'!C36</x:f>
        <x:v>0.9580813625324576</x:v>
      </x:c>
      <x:c r="F6" s="34" t="n">
        <x:f>'Inputs'!C37</x:f>
        <x:v>0.9941338628239598</x:v>
      </x:c>
      <x:c r="G6" s="34" t="n">
        <x:f>'Inputs'!C38</x:f>
        <x:v>1.0214948126970593</x:v>
      </x:c>
      <x:c r="H6" s="34" t="n">
        <x:f>'Inputs'!C13</x:f>
        <x:v>1.027</x:v>
      </x:c>
      <x:c r="I6" s="35" t="n">
        <x:f>'Inputs'!C32</x:f>
        <x:v>96587.80188100002</x:v>
      </x:c>
      <x:c r="J6" s="35" t="n">
        <x:f>'Inputs'!C33</x:f>
        <x:v>1510.7401730000001</x:v>
      </x:c>
    </x:row>
    <x:row r="7" ht="15" hidden="0" customHeight="1">
      <x:c r="A7" s="21" t="n">
        <x:v>2025</x:v>
      </x:c>
      <x:c r="B7" s="34" t="n">
        <x:f>'Inputs'!D34</x:f>
        <x:v>0.968378296938798</x:v>
      </x:c>
      <x:c r="C7" s="34" t="n">
        <x:f>'Inputs'!D35</x:f>
        <x:v>0.9584394458040657</x:v>
      </x:c>
      <x:c r="D7" s="34" t="n">
        <x:f>'Inputs'!D39</x:f>
        <x:v>1.0082451640787315</x:v>
      </x:c>
      <x:c r="E7" s="34" t="n">
        <x:f>'Inputs'!D36</x:f>
        <x:v>0.9942438038695108</x:v>
      </x:c>
      <x:c r="F7" s="34" t="n">
        <x:f>'Inputs'!D37</x:f>
        <x:v>1.0145102632008207</x:v>
      </x:c>
      <x:c r="G7" s="34" t="n">
        <x:f>'Inputs'!D38</x:f>
        <x:v>0.5256275891992164</x:v>
      </x:c>
      <x:c r="H7" s="34" t="n">
        <x:f>'Inputs'!D13</x:f>
        <x:v>1.068</x:v>
      </x:c>
      <x:c r="I7" s="35" t="n">
        <x:f>'Inputs'!D32</x:f>
        <x:v>106001.77154199999</x:v>
      </x:c>
      <x:c r="J7" s="35" t="n">
        <x:f>'Inputs'!D33</x:f>
        <x:v>-874.0019990000001</x:v>
      </x:c>
    </x:row>
    <x:row r="8"/>
    <x:row r="9"/>
    <x:row r="10" ht="15" hidden="0" customHeight="1">
      <x:c r="A10" s="11" t="str">
        <x:v>年度</x:v>
      </x:c>
      <x:c r="B10" s="11" t="str">
        <x:v>整体COR</x:v>
      </x:c>
      <x:c r="C10" s="11" t="str">
        <x:v>车险COR</x:v>
      </x:c>
      <x:c r="D10" s="11" t="str">
        <x:v>核心非车COR</x:v>
      </x:c>
      <x:c r="E10" s="11" t="str">
        <x:v>其他财产险COR</x:v>
      </x:c>
    </x:row>
    <x:row r="11" ht="15" hidden="0" customHeight="1">
      <x:c r="A11" t="n">
        <x:f>A5</x:f>
        <x:v>2023</x:v>
      </x:c>
      <x:c r="B11" s="13" t="n">
        <x:f>B5</x:f>
        <x:v>1.0066448211782333</x:v>
      </x:c>
      <x:c r="C11" s="13" t="n">
        <x:f>C5</x:f>
        <x:v>0.9774149619925742</x:v>
      </x:c>
      <x:c r="D11" s="13" t="n">
        <x:f>D5</x:f>
        <x:v>0.9997656879099236</x:v>
      </x:c>
      <x:c r="E11" s="13" t="n">
        <x:f>F5</x:f>
        <x:v>0.9970316164729194</x:v>
      </x:c>
    </x:row>
    <x:row r="12" ht="15" hidden="0" customHeight="1">
      <x:c r="A12" t="n">
        <x:f>A6</x:f>
        <x:v>2024</x:v>
      </x:c>
      <x:c r="B12" s="13" t="n">
        <x:f>B6</x:f>
        <x:v>0.9833508596103149</x:v>
      </x:c>
      <x:c r="C12" s="13" t="n">
        <x:f>C6</x:f>
        <x:v>0.9809090613382054</x:v>
      </x:c>
      <x:c r="D12" s="13" t="n">
        <x:f>D6</x:f>
        <x:v>0.9843588927009511</x:v>
      </x:c>
      <x:c r="E12" s="13" t="n">
        <x:f>F6</x:f>
        <x:v>0.9941338628239598</x:v>
      </x:c>
    </x:row>
    <x:row r="13" ht="15" hidden="0" customHeight="1">
      <x:c r="A13" t="n">
        <x:f>A7</x:f>
        <x:v>2025</x:v>
      </x:c>
      <x:c r="B13" s="13" t="n">
        <x:f>B7</x:f>
        <x:v>0.968378296938798</x:v>
      </x:c>
      <x:c r="C13" s="13" t="n">
        <x:f>C7</x:f>
        <x:v>0.9584394458040657</x:v>
      </x:c>
      <x:c r="D13" s="13" t="n">
        <x:f>D7</x:f>
        <x:v>1.0082451640787315</x:v>
      </x:c>
      <x:c r="E13" s="13" t="n">
        <x:f>F7</x:f>
        <x:v>1.0145102632008207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 ht="30" hidden="0" customHeight="1">
      <x:c r="A33" s="37" t="str">
        <x:v>核心非车COR：2023年接近盈亏平衡，2024年改善，2025年升至100%以上。</x:v>
      </x:c>
      <x:c r="B33" s="37"/>
      <x:c r="C33" s="37"/>
      <x:c r="D33" s="37"/>
      <x:c r="E33" s="37"/>
      <x:c r="F33" s="37"/>
      <x:c r="G33" s="37"/>
      <x:c r="H33" s="37"/>
      <x:c r="I33" s="37"/>
      <x:c r="J33" s="37"/>
    </x:row>
    <x:row r="34" ht="30" hidden="0" customHeight="1">
      <x:c r="A34" s="37" t="str">
        <x:v>意健险：2025年仍盈利，但COR较2024年明显反弹。</x:v>
      </x:c>
      <x:c r="B34" s="37"/>
      <x:c r="C34" s="37"/>
      <x:c r="D34" s="37"/>
      <x:c r="E34" s="37"/>
      <x:c r="F34" s="37"/>
      <x:c r="G34" s="37"/>
      <x:c r="H34" s="37"/>
      <x:c r="I34" s="37"/>
      <x:c r="J34" s="37"/>
    </x:row>
    <x:row r="35" ht="30" hidden="0" customHeight="1">
      <x:c r="A35" s="37" t="str">
        <x:v>其他财产险：2025年从承保盈利转为承保亏损，是核心非车压力的主要来源。</x:v>
      </x:c>
      <x:c r="B35" s="37"/>
      <x:c r="C35" s="37"/>
      <x:c r="D35" s="37"/>
      <x:c r="E35" s="37"/>
      <x:c r="F35" s="37"/>
      <x:c r="G35" s="37"/>
      <x:c r="H35" s="37"/>
      <x:c r="I35" s="37"/>
      <x:c r="J35" s="37"/>
    </x:row>
    <x:row r="36" ht="30" hidden="0" customHeight="1">
      <x:c r="A36" s="37" t="str">
        <x:v>责任险为其他财产险下钻，不得与其他财产险重复加总。</x:v>
      </x:c>
      <x:c r="B36" s="37"/>
      <x:c r="C36" s="37"/>
      <x:c r="D36" s="37"/>
      <x:c r="E36" s="37"/>
      <x:c r="F36" s="37"/>
      <x:c r="G36" s="37"/>
      <x:c r="H36" s="37"/>
      <x:c r="I36" s="37"/>
      <x:c r="J36" s="37"/>
    </x:row>
  </x:sheetData>
  <x:mergeCells>
    <x:mergeCell ref="A1:J1"/>
    <x:mergeCell ref="A2:J2"/>
    <x:mergeCell ref="A33:J33"/>
    <x:mergeCell ref="A34:J34"/>
    <x:mergeCell ref="A35:J35"/>
    <x:mergeCell ref="A36:J36"/>
  </x:mergeCells>
  <x:pageMargins left="0.7" right="0.7" top="0.75" bottom="0.75" header="0.3" footer="0.3"/>
  <x:drawing xmlns:r="http://schemas.openxmlformats.org/officeDocument/2006/relationships" r:id="Rd370e0a0e4844b8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38" hidden="0" customWidth="1"/>
    <x:col min="7" max="7" width="3" hidden="0" customWidth="1"/>
    <x:col min="8" max="8" width="20" hidden="0" customWidth="1"/>
    <x:col min="9" max="9" width="20" hidden="0" customWidth="1"/>
  </x:cols>
  <x:sheetData>
    <x:row r="1" ht="21.600000381469727" hidden="0" customHeight="1">
      <x:c r="A1" s="3" t="str">
        <x:v>车险改善与非车反向压力桥接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正数=改善整体COR；负数=抵消整体改善；责任险是其他财产险的下钻项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7" t="str">
        <x:v>2024→2025驱动</x:v>
      </x:c>
      <x:c r="B4" s="17" t="str">
        <x:v>起点整体影响</x:v>
      </x:c>
      <x:c r="C4" s="17" t="str">
        <x:v>终点整体影响</x:v>
      </x:c>
      <x:c r="D4" s="17" t="str">
        <x:v>改善贡献(pp)</x:v>
      </x:c>
      <x:c r="E4" s="17" t="str">
        <x:v>方向</x:v>
      </x:c>
      <x:c r="F4" s="17" t="str">
        <x:v>说明</x:v>
      </x:c>
      <x:c r="H4" s="11" t="str">
        <x:v>驱动</x:v>
      </x:c>
      <x:c r="I4" s="11" t="str">
        <x:v>改善贡献(pp)</x:v>
      </x:c>
    </x:row>
    <x:row r="5" ht="15" hidden="0" customHeight="1">
      <x:c r="A5" s="21" t="str">
        <x:v>车险</x:v>
      </x:c>
      <x:c r="B5" s="41" t="n">
        <x:f>-'Inputs'!C27/'Inputs'!C5*100</x:f>
        <x:v>-1.2800701261153848</x:v>
      </x:c>
      <x:c r="C5" s="41" t="n">
        <x:f>-'Inputs'!D27/'Inputs'!D5*100</x:f>
        <x:v>-2.802016533166416</x:v>
      </x:c>
      <x:c r="D5" s="41" t="n">
        <x:f>B5-C5</x:f>
        <x:v>1.5219464070510311</x:v>
      </x:c>
      <x:c r="E5" s="21" t="str">
        <x:f>IF(D5&gt;=0,"改善","拖累")</x:f>
        <x:v>改善</x:v>
      </x:c>
      <x:c r="F5" s="21" t="str">
        <x:v>车险COR下降</x:v>
      </x:c>
      <x:c r="H5" t="str">
        <x:f>A5</x:f>
        <x:v>车险</x:v>
      </x:c>
      <x:c r="I5" s="55" t="n">
        <x:f>D5</x:f>
        <x:v>1.5219464070510311</x:v>
      </x:c>
    </x:row>
    <x:row r="6" ht="15" hidden="0" customHeight="1">
      <x:c r="A6" s="21" t="str">
        <x:v>保证险</x:v>
      </x:c>
      <x:c r="B6" s="41" t="n">
        <x:f>-'Inputs'!C30/'Inputs'!C5*100</x:f>
        <x:v>0.07554224176451674</x:v>
      </x:c>
      <x:c r="C6" s="41" t="n">
        <x:f>-'Inputs'!D30/'Inputs'!D5*100</x:f>
        <x:v>-0.6180381828747636</x:v>
      </x:c>
      <x:c r="D6" s="41" t="n">
        <x:f>B6-C6</x:f>
        <x:v>0.6935804246392804</x:v>
      </x:c>
      <x:c r="E6" s="21" t="str">
        <x:f>IF(D6&gt;=0,"改善","拖累")</x:f>
        <x:v>改善</x:v>
      </x:c>
      <x:c r="F6" s="21" t="str">
        <x:v>保证险转为盈利</x:v>
      </x:c>
      <x:c r="H6" t="str">
        <x:f>A6</x:f>
        <x:v>保证险</x:v>
      </x:c>
      <x:c r="I6" s="55" t="n">
        <x:f>D6</x:f>
        <x:v>0.6935804246392804</x:v>
      </x:c>
    </x:row>
    <x:row r="7" ht="15" hidden="0" customHeight="1">
      <x:c r="A7" s="21" t="str">
        <x:v>意健险</x:v>
      </x:c>
      <x:c r="B7" s="41" t="n">
        <x:f>-'Inputs'!C28/'Inputs'!C5*100</x:f>
        <x:v>-0.33453531192434355</x:v>
      </x:c>
      <x:c r="C7" s="41" t="n">
        <x:f>-'Inputs'!D28/'Inputs'!D5*100</x:f>
        <x:v>-0.05565592868112274</x:v>
      </x:c>
      <x:c r="D7" s="41" t="n">
        <x:f>B7-C7</x:f>
        <x:v>-0.2788793832432208</x:v>
      </x:c>
      <x:c r="E7" s="21" t="str">
        <x:f>IF(D7&gt;=0,"改善","拖累")</x:f>
        <x:v>拖累</x:v>
      </x:c>
      <x:c r="F7" s="21" t="str">
        <x:v>利润率回落</x:v>
      </x:c>
      <x:c r="H7" t="str">
        <x:f>A7</x:f>
        <x:v>意健险</x:v>
      </x:c>
      <x:c r="I7" s="55" t="n">
        <x:f>D7</x:f>
        <x:v>-0.2788793832432208</x:v>
      </x:c>
    </x:row>
    <x:row r="8" ht="15" hidden="0" customHeight="1">
      <x:c r="A8" s="21" t="str">
        <x:v>责任险</x:v>
      </x:c>
      <x:c r="B8" s="41" t="n">
        <x:f>-'Inputs'!C12/'Inputs'!C5*100</x:f>
        <x:v>0.19625392166874242</x:v>
      </x:c>
      <x:c r="C8" s="41" t="n">
        <x:f>-'Inputs'!D12/'Inputs'!D5*100</x:f>
        <x:v>0.4844911128060762</x:v>
      </x:c>
      <x:c r="D8" s="41" t="n">
        <x:f>B8-C8</x:f>
        <x:v>-0.2882371911373338</x:v>
      </x:c>
      <x:c r="E8" s="21" t="str">
        <x:f>IF(D8&gt;=0,"改善","拖累")</x:f>
        <x:v>拖累</x:v>
      </x:c>
      <x:c r="F8" s="21" t="str">
        <x:v>责任险亏损扩大；为其他财产险子集</x:v>
      </x:c>
      <x:c r="H8" t="str">
        <x:f>A8</x:f>
        <x:v>责任险</x:v>
      </x:c>
      <x:c r="I8" s="55" t="n">
        <x:f>D8</x:f>
        <x:v>-0.2882371911373338</x:v>
      </x:c>
    </x:row>
    <x:row r="9" ht="15" hidden="0" customHeight="1">
      <x:c r="A9" s="21" t="str">
        <x:v>其他财产险（剔除责任险）</x:v>
      </x:c>
      <x:c r="B9" s="41" t="n">
        <x:f>-('Inputs'!C29-'Inputs'!C12)/'Inputs'!C5*100</x:f>
        <x:v>-0.32210476436204544</x:v>
      </x:c>
      <x:c r="C9" s="41" t="n">
        <x:f>-('Inputs'!D29-'Inputs'!D12)/'Inputs'!D5*100</x:f>
        <x:v>-0.17095077420397592</x:v>
      </x:c>
      <x:c r="D9" s="41" t="n">
        <x:f>B9-C9</x:f>
        <x:v>-0.15115399015806952</x:v>
      </x:c>
      <x:c r="E9" s="21" t="str">
        <x:f>IF(D9&gt;=0,"改善","拖累")</x:f>
        <x:v>拖累</x:v>
      </x:c>
      <x:c r="F9" s="21" t="str">
        <x:v>其他财产险剩余部分增益下降</x:v>
      </x:c>
      <x:c r="H9" t="str">
        <x:f>A9</x:f>
        <x:v>其他财产险（剔除责任险）</x:v>
      </x:c>
      <x:c r="I9" s="55" t="n">
        <x:f>D9</x:f>
        <x:v>-0.15115399015806952</x:v>
      </x:c>
    </x:row>
    <x:row r="10" ht="15" hidden="0" customHeight="1">
      <x:c r="A10" s="21" t="str">
        <x:v>合计</x:v>
      </x:c>
      <x:c r="B10" s="41" t="n">
        <x:f>SUM(B5:B9)</x:f>
        <x:v>-1.6649140389685146</x:v>
      </x:c>
      <x:c r="C10" s="41" t="n">
        <x:f>SUM(C5:C9)</x:f>
        <x:v>-3.1621703061202022</x:v>
      </x:c>
      <x:c r="D10" s="41" t="n">
        <x:f>SUM(D5:D9)</x:f>
        <x:v>1.4972562671516871</x:v>
      </x:c>
      <x:c r="E10" s="21" t="str">
        <x:f>IF(D10&gt;=0,"净改善","净拖累")</x:f>
        <x:v>净改善</x:v>
      </x:c>
      <x:c r="F10" s="21" t="str">
        <x:v>与整体COR变化勾稽</x:v>
      </x:c>
      <x:c r="H10" t="str">
        <x:f>A10</x:f>
        <x:v>合计</x:v>
      </x:c>
      <x:c r="I10" s="55" t="n">
        <x:f>D10</x:f>
        <x:v>1.4972562671516871</x:v>
      </x:c>
    </x:row>
    <x:row r="11"/>
    <x:row r="12"/>
    <x:row r="13" ht="15" hidden="0" customHeight="1">
      <x:c r="A13" s="17" t="str">
        <x:v>桥接摘要</x:v>
      </x:c>
      <x:c r="B13" s="17" t="str">
        <x:v>结果</x:v>
      </x:c>
      <x:c r="C13" s="17" t="str">
        <x:v>单位</x:v>
      </x:c>
      <x:c r="D13" s="17" t="str">
        <x:v>公式</x:v>
      </x:c>
    </x:row>
    <x:row r="14" ht="15" hidden="0" customHeight="1">
      <x:c r="A14" s="21" t="str">
        <x:v>整体COR实际改善</x:v>
      </x:c>
      <x:c r="B14" s="51" t="n">
        <x:f>('Inputs'!C34-'Inputs'!D34)*100</x:f>
        <x:v>1.497256267151692</x:v>
      </x:c>
      <x:c r="C14" s="21" t="str">
        <x:v>pp</x:v>
      </x:c>
      <x:c r="D14" s="21" t="str">
        <x:v>2024整体COR−2025整体COR</x:v>
      </x:c>
    </x:row>
    <x:row r="15" ht="15" hidden="0" customHeight="1">
      <x:c r="A15" s="21" t="str">
        <x:v>车险+保证险毛改善</x:v>
      </x:c>
      <x:c r="B15" s="51" t="n">
        <x:f>D5+D6</x:f>
        <x:v>2.2155268316903114</x:v>
      </x:c>
      <x:c r="C15" s="21" t="str">
        <x:v>pp</x:v>
      </x:c>
      <x:c r="D15" s="21" t="str">
        <x:v>车险贡献+保证险贡献</x:v>
      </x:c>
    </x:row>
    <x:row r="16" ht="15" hidden="0" customHeight="1">
      <x:c r="A16" s="21" t="str">
        <x:v>核心非车反向压力</x:v>
      </x:c>
      <x:c r="B16" s="51" t="n">
        <x:f>D7+D8+D9</x:f>
        <x:v>-0.7182705645386241</x:v>
      </x:c>
      <x:c r="C16" s="21" t="str">
        <x:v>pp</x:v>
      </x:c>
      <x:c r="D16" s="21" t="str">
        <x:v>意健险+责任险+其他财产险剩余</x:v>
      </x:c>
    </x:row>
    <x:row r="17" ht="15" hidden="0" customHeight="1">
      <x:c r="A17" s="21" t="str">
        <x:v>核心非车抵消毛改善比例</x:v>
      </x:c>
      <x:c r="B17" s="52" t="n">
        <x:f>-B16/B15</x:f>
        <x:v>0.3241985401687181</x:v>
      </x:c>
      <x:c r="C17" s="21" t="str">
        <x:v>%</x:v>
      </x:c>
      <x:c r="D17" s="21" t="str">
        <x:v>−核心非车压力/毛改善</x:v>
      </x:c>
    </x:row>
    <x:row r="18" ht="15" hidden="0" customHeight="1">
      <x:c r="A18" s="21" t="str">
        <x:v>核心非车COR变化</x:v>
      </x:c>
      <x:c r="B18" s="53" t="n">
        <x:f>('Inputs'!D39-'Inputs'!C39)*100</x:f>
        <x:v>2.3886271377780433</x:v>
      </x:c>
      <x:c r="C18" s="21" t="str">
        <x:v>pp</x:v>
      </x:c>
      <x:c r="D18" s="21" t="str">
        <x:v>2025核心非车COR−2024核心非车COR</x:v>
      </x:c>
    </x:row>
    <x:row r="19" ht="15" hidden="0" customHeight="1">
      <x:c r="A19" s="21" t="str">
        <x:v>核心非车承保利润变动</x:v>
      </x:c>
      <x:c r="B19" s="54" t="n">
        <x:f>'Inputs'!D33-'Inputs'!C33</x:f>
        <x:v>-2384.742172</x:v>
      </x:c>
      <x:c r="C19" s="21" t="str">
        <x:v>百万元</x:v>
      </x:c>
      <x:c r="D19" s="21" t="str">
        <x:v>2025核心非车利润−2024核心非车利润</x:v>
      </x:c>
    </x:row>
    <x:row r="20"/>
    <x:row r="21"/>
    <x:row r="22" ht="15" hidden="0" customHeight="1">
      <x:c r="A22" s="17" t="str">
        <x:v>2023→2025驱动</x:v>
      </x:c>
      <x:c r="B22" s="17" t="str">
        <x:v>2023整体影响</x:v>
      </x:c>
      <x:c r="C22" s="17" t="str">
        <x:v>2025整体影响</x:v>
      </x:c>
      <x:c r="D22" s="17" t="str">
        <x:v>改善贡献(pp)</x:v>
      </x:c>
      <x:c r="E22" s="17" t="str">
        <x:v>方向</x:v>
      </x:c>
      <x:c r="F22" s="17" t="str">
        <x:v>说明</x:v>
      </x:c>
    </x:row>
    <x:row r="23" ht="15" hidden="0" customHeight="1">
      <x:c r="A23" s="21" t="str">
        <x:v>车险</x:v>
      </x:c>
      <x:c r="B23" s="41" t="n">
        <x:f>-'Inputs'!B27/'Inputs'!B5*100</x:f>
        <x:v>-1.5097495657981845</x:v>
      </x:c>
      <x:c r="C23" s="41" t="n">
        <x:f>-'Inputs'!D27/'Inputs'!D5*100</x:f>
        <x:v>-2.802016533166416</x:v>
      </x:c>
      <x:c r="D23" s="41" t="n">
        <x:f>B23-C23</x:f>
        <x:v>1.2922669673682314</x:v>
      </x:c>
      <x:c r="E23" s="21" t="str">
        <x:f>IF(D23&gt;=0,"改善","拖累")</x:f>
        <x:v>改善</x:v>
      </x:c>
      <x:c r="F23" s="21" t="str">
        <x:v>车险改善</x:v>
      </x:c>
    </x:row>
    <x:row r="24" ht="15" hidden="0" customHeight="1">
      <x:c r="A24" s="21" t="str">
        <x:v>保证险</x:v>
      </x:c>
      <x:c r="B24" s="41" t="n">
        <x:f>-'Inputs'!B30/'Inputs'!B5*100</x:f>
        <x:v>2.1803550324582006</x:v>
      </x:c>
      <x:c r="C24" s="41" t="n">
        <x:f>-'Inputs'!D30/'Inputs'!D5*100</x:f>
        <x:v>-0.6180381828747636</x:v>
      </x:c>
      <x:c r="D24" s="41" t="n">
        <x:f>B24-C24</x:f>
        <x:v>2.7983932153329643</x:v>
      </x:c>
      <x:c r="E24" s="21" t="str">
        <x:f>IF(D24&gt;=0,"改善","拖累")</x:f>
        <x:v>改善</x:v>
      </x:c>
      <x:c r="F24" s="21" t="str">
        <x:v>保证险为主要累计改善来源</x:v>
      </x:c>
    </x:row>
    <x:row r="25" ht="15" hidden="0" customHeight="1">
      <x:c r="A25" s="21" t="str">
        <x:v>意健险</x:v>
      </x:c>
      <x:c r="B25" s="41" t="n">
        <x:f>-'Inputs'!B28/'Inputs'!B5*100</x:f>
        <x:v>0.05073131793611843</x:v>
      </x:c>
      <x:c r="C25" s="41" t="n">
        <x:f>-'Inputs'!D28/'Inputs'!D5*100</x:f>
        <x:v>-0.05565592868112274</x:v>
      </x:c>
      <x:c r="D25" s="41" t="n">
        <x:f>B25-C25</x:f>
        <x:v>0.10638724661724117</x:v>
      </x:c>
      <x:c r="E25" s="21" t="str">
        <x:f>IF(D25&gt;=0,"改善","拖累")</x:f>
        <x:v>改善</x:v>
      </x:c>
      <x:c r="F25" s="21" t="str">
        <x:v>较2023略改善</x:v>
      </x:c>
    </x:row>
    <x:row r="26" ht="15" hidden="0" customHeight="1">
      <x:c r="A26" s="21" t="str">
        <x:v>责任险</x:v>
      </x:c>
      <x:c r="B26" s="41" t="n">
        <x:f>-'Inputs'!B12/'Inputs'!B5*100</x:f>
        <x:v>0.4380178715758301</x:v>
      </x:c>
      <x:c r="C26" s="41" t="n">
        <x:f>-'Inputs'!D12/'Inputs'!D5*100</x:f>
        <x:v>0.4844911128060762</x:v>
      </x:c>
      <x:c r="D26" s="41" t="n">
        <x:f>B26-C26</x:f>
        <x:v>-0.0464732412302461</x:v>
      </x:c>
      <x:c r="E26" s="21" t="str">
        <x:f>IF(D26&gt;=0,"改善","拖累")</x:f>
        <x:v>拖累</x:v>
      </x:c>
      <x:c r="F26" s="21" t="str">
        <x:v>2025仍维持高亏损</x:v>
      </x:c>
    </x:row>
    <x:row r="27" ht="15" hidden="0" customHeight="1">
      <x:c r="A27" s="21" t="str">
        <x:v>其他财产险（剔除责任险）</x:v>
      </x:c>
      <x:c r="B27" s="41" t="n">
        <x:f>-('Inputs'!B29-'Inputs'!B12)/'Inputs'!B5*100</x:f>
        <x:v>-0.4948725383486403</x:v>
      </x:c>
      <x:c r="C27" s="41" t="n">
        <x:f>-('Inputs'!D29-'Inputs'!D12)/'Inputs'!D5*100</x:f>
        <x:v>-0.17095077420397592</x:v>
      </x:c>
      <x:c r="D27" s="41" t="n">
        <x:f>B27-C27</x:f>
        <x:v>-0.3239217641446644</x:v>
      </x:c>
      <x:c r="E27" s="21" t="str">
        <x:f>IF(D27&gt;=0,"改善","拖累")</x:f>
        <x:v>拖累</x:v>
      </x:c>
      <x:c r="F27" s="21" t="str">
        <x:v>累计压力集中于责任险以外剩余部分</x:v>
      </x:c>
    </x:row>
    <x:row r="28" ht="15" hidden="0" customHeight="1">
      <x:c r="A28" s="21" t="str">
        <x:v>合计</x:v>
      </x:c>
      <x:c r="B28" s="41" t="n">
        <x:f>SUM(B23:B27)</x:f>
        <x:v>0.6644821178233242</x:v>
      </x:c>
      <x:c r="C28" s="41" t="n">
        <x:f>SUM(C23:C27)</x:f>
        <x:v>-3.1621703061202022</x:v>
      </x:c>
      <x:c r="D28" s="41" t="n">
        <x:f>SUM(D23:D27)</x:f>
        <x:v>3.8266524239435267</x:v>
      </x:c>
      <x:c r="E28" s="21" t="str">
        <x:f>IF(D28&gt;=0,"净改善","净拖累")</x:f>
        <x:v>净改善</x:v>
      </x:c>
      <x:c r="F28" s="21" t="str">
        <x:v>与整体COR变化勾稽</x:v>
      </x:c>
    </x:row>
  </x:sheetData>
  <x:mergeCells>
    <x:mergeCell ref="A1:H1"/>
    <x:mergeCell ref="A2:H2"/>
  </x:mergeCells>
  <x:conditionalFormatting sqref="D5:D10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pageMargins left="0.7" right="0.7" top="0.75" bottom="0.75" header="0.3" footer="0.3"/>
  <x:drawing xmlns:r="http://schemas.openxmlformats.org/officeDocument/2006/relationships" r:id="R6d66c28c2ce2428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  <x:col min="7" max="7" width="34" hidden="0" customWidth="1"/>
  </x:cols>
  <x:sheetData>
    <x:row r="1" ht="21.600000381469727" hidden="0" customHeight="1">
      <x:c r="A1" s="3" t="str">
        <x:v>模型检查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PASS只表示公式、勾稽、来源口径与单位通过，不表示因果识别完成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7" t="str">
        <x:v>检查项</x:v>
      </x:c>
      <x:c r="B4" s="17" t="str">
        <x:v>实际值</x:v>
      </x:c>
      <x:c r="C4" s="17" t="str">
        <x:v>期望值</x:v>
      </x:c>
      <x:c r="D4" s="17" t="str">
        <x:v>差异</x:v>
      </x:c>
      <x:c r="E4" s="17" t="str">
        <x:v>容差</x:v>
      </x:c>
      <x:c r="F4" s="17" t="str">
        <x:v>状态</x:v>
      </x:c>
      <x:c r="G4" s="17" t="str">
        <x:v>说明</x:v>
      </x:c>
    </x:row>
    <x:row r="5" ht="15" hidden="0" customHeight="1">
      <x:c r="A5" s="21" t="str">
        <x:v>2023分部利润勾稽</x:v>
      </x:c>
      <x:c r="B5" s="61" t="n">
        <x:f>'Inputs'!B26</x:f>
        <x:v>-2082.8692320000005</x:v>
      </x:c>
      <x:c r="C5" s="61" t="n">
        <x:f>SUM('Inputs'!B27:B30)</x:f>
        <x:v>-2082.869232</x:v>
      </x:c>
      <x:c r="D5" s="61" t="n">
        <x:f>ABS(B5-C5)</x:f>
        <x:v>4.547473508864641e-13</x:v>
      </x:c>
      <x:c r="E5" s="61" t="n">
        <x:v>0.000001</x:v>
      </x:c>
      <x:c r="F5" s="21" t="str">
        <x:f>IF(D5&lt;=E5,"PASS","FAIL")</x:f>
        <x:v>PASS</x:v>
      </x:c>
      <x:c r="G5" s="21" t="str">
        <x:v>营业利润−其他收益</x:v>
      </x:c>
    </x:row>
    <x:row r="6" ht="15" hidden="0" customHeight="1">
      <x:c r="A6" s="21" t="str">
        <x:v>2024分部利润勾稽</x:v>
      </x:c>
      <x:c r="B6" s="61" t="n">
        <x:f>'Inputs'!C26</x:f>
        <x:v>5463.353965</x:v>
      </x:c>
      <x:c r="C6" s="61" t="n">
        <x:f>SUM('Inputs'!C27:C30)</x:f>
        <x:v>5463.353965</x:v>
      </x:c>
      <x:c r="D6" s="61" t="n">
        <x:f>ABS(B6-C6)</x:f>
        <x:v>0</x:v>
      </x:c>
      <x:c r="E6" s="61" t="n">
        <x:v>0.000001</x:v>
      </x:c>
      <x:c r="F6" s="21" t="str">
        <x:f>IF(D6&lt;=E6,"PASS","FAIL")</x:f>
        <x:v>PASS</x:v>
      </x:c>
      <x:c r="G6" s="21" t="str">
        <x:v>营业利润−其他收益</x:v>
      </x:c>
    </x:row>
    <x:row r="7" ht="15" hidden="0" customHeight="1">
      <x:c r="A7" s="21" t="str">
        <x:v>2025分部利润勾稽</x:v>
      </x:c>
      <x:c r="B7" s="61" t="n">
        <x:f>'Inputs'!D26</x:f>
        <x:v>10716.984286000003</x:v>
      </x:c>
      <x:c r="C7" s="61" t="n">
        <x:f>SUM('Inputs'!D27:D30)</x:f>
        <x:v>10716.984285999999</x:v>
      </x:c>
      <x:c r="D7" s="61" t="n">
        <x:f>ABS(B7-C7)</x:f>
        <x:v>3.637978807091713e-12</x:v>
      </x:c>
      <x:c r="E7" s="61" t="n">
        <x:v>0.000001</x:v>
      </x:c>
      <x:c r="F7" s="21" t="str">
        <x:f>IF(D7&lt;=E7,"PASS","FAIL")</x:f>
        <x:v>PASS</x:v>
      </x:c>
      <x:c r="G7" s="21" t="str">
        <x:v>营业利润−其他收益</x:v>
      </x:c>
    </x:row>
    <x:row r="8" ht="15" hidden="0" customHeight="1">
      <x:c r="A8" s="21" t="str">
        <x:v>2023收入勾稽</x:v>
      </x:c>
      <x:c r="B8" s="61" t="n">
        <x:f>'Inputs'!B5</x:f>
        <x:v>313457.529726</x:v>
      </x:c>
      <x:c r="C8" s="61" t="n">
        <x:f>'Inputs'!B6+'Inputs'!B25+'Inputs'!B31+'Inputs'!B10</x:f>
        <x:v>313457.5297259999</x:v>
      </x:c>
      <x:c r="D8" s="61" t="n">
        <x:f>ABS(B8-C8)</x:f>
        <x:v>5.820766091346741e-11</x:v>
      </x:c>
      <x:c r="E8" s="61" t="n">
        <x:v>0.001</x:v>
      </x:c>
      <x:c r="F8" s="21" t="str">
        <x:f>IF(D8&lt;=E8,"PASS","FAIL")</x:f>
        <x:v>PASS</x:v>
      </x:c>
      <x:c r="G8" s="21" t="str">
        <x:v>四分部收入合计</x:v>
      </x:c>
    </x:row>
    <x:row r="9" ht="15" hidden="0" customHeight="1">
      <x:c r="A9" s="21" t="str">
        <x:v>2024收入勾稽</x:v>
      </x:c>
      <x:c r="B9" s="61" t="n">
        <x:f>'Inputs'!C5</x:f>
        <x:v>328146.308886</x:v>
      </x:c>
      <x:c r="C9" s="61" t="n">
        <x:f>'Inputs'!C6+'Inputs'!C25+'Inputs'!C31+'Inputs'!C10</x:f>
        <x:v>328146.3088860001</x:v>
      </x:c>
      <x:c r="D9" s="61" t="n">
        <x:f>ABS(B9-C9)</x:f>
        <x:v>5.820766091346741e-11</x:v>
      </x:c>
      <x:c r="E9" s="61" t="n">
        <x:v>0.001</x:v>
      </x:c>
      <x:c r="F9" s="21" t="str">
        <x:f>IF(D9&lt;=E9,"PASS","FAIL")</x:f>
        <x:v>PASS</x:v>
      </x:c>
      <x:c r="G9" s="21" t="str">
        <x:v>四分部收入合计</x:v>
      </x:c>
    </x:row>
    <x:row r="10" ht="15" hidden="0" customHeight="1">
      <x:c r="A10" s="21" t="str">
        <x:v>2025收入勾稽</x:v>
      </x:c>
      <x:c r="B10" s="61" t="n">
        <x:f>'Inputs'!D5</x:f>
        <x:v>338912.305427</x:v>
      </x:c>
      <x:c r="C10" s="61" t="n">
        <x:f>'Inputs'!D6+'Inputs'!D25+'Inputs'!D31+'Inputs'!D10</x:f>
        <x:v>338912.305427</x:v>
      </x:c>
      <x:c r="D10" s="61" t="n">
        <x:f>ABS(B10-C10)</x:f>
        <x:v>0</x:v>
      </x:c>
      <x:c r="E10" s="61" t="n">
        <x:v>0.001</x:v>
      </x:c>
      <x:c r="F10" s="21" t="str">
        <x:f>IF(D10&lt;=E10,"PASS","FAIL")</x:f>
        <x:v>PASS</x:v>
      </x:c>
      <x:c r="G10" s="21" t="str">
        <x:v>四分部收入合计</x:v>
      </x:c>
    </x:row>
    <x:row r="11" ht="15" hidden="0" customHeight="1">
      <x:c r="A11" s="21" t="str">
        <x:v>2024→2025桥接勾稽</x:v>
      </x:c>
      <x:c r="B11" s="61" t="n">
        <x:f>'Bridge'!D10</x:f>
        <x:v>1.4972562671516871</x:v>
      </x:c>
      <x:c r="C11" s="61" t="n">
        <x:f>('Inputs'!C34-'Inputs'!D34)*100</x:f>
        <x:v>1.497256267151692</x:v>
      </x:c>
      <x:c r="D11" s="61" t="n">
        <x:f>ABS(B11-C11)</x:f>
        <x:v>4.884981308350689e-15</x:v>
      </x:c>
      <x:c r="E11" s="61" t="n">
        <x:v>0.000001</x:v>
      </x:c>
      <x:c r="F11" s="21" t="str">
        <x:f>IF(D11&lt;=E11,"PASS","FAIL")</x:f>
        <x:v>PASS</x:v>
      </x:c>
      <x:c r="G11" s="21" t="str">
        <x:v>五项贡献等于整体变化</x:v>
      </x:c>
    </x:row>
    <x:row r="12" ht="15" hidden="0" customHeight="1">
      <x:c r="A12" s="21" t="str">
        <x:v>2023→2025桥接勾稽</x:v>
      </x:c>
      <x:c r="B12" s="61" t="n">
        <x:f>'Bridge'!D28</x:f>
        <x:v>3.8266524239435267</x:v>
      </x:c>
      <x:c r="C12" s="61" t="n">
        <x:f>('Inputs'!B34-'Inputs'!D34)*100</x:f>
        <x:v>3.826652423943533</x:v>
      </x:c>
      <x:c r="D12" s="61" t="n">
        <x:f>ABS(B12-C12)</x:f>
        <x:v>6.217248937900877e-15</x:v>
      </x:c>
      <x:c r="E12" s="61" t="n">
        <x:v>0.000001</x:v>
      </x:c>
      <x:c r="F12" s="21" t="str">
        <x:f>IF(D12&lt;=E12,"PASS","FAIL")</x:f>
        <x:v>PASS</x:v>
      </x:c>
      <x:c r="G12" s="21" t="str">
        <x:v>五项贡献等于整体变化</x:v>
      </x:c>
    </x:row>
    <x:row r="13"/>
    <x:row r="14"/>
    <x:row r="15" ht="16.799999237060547" hidden="0" customHeight="1">
      <x:c r="A15" s="11" t="str">
        <x:v>整体状态</x:v>
      </x:c>
      <x:c r="B15" s="63" t="str">
        <x:f>IF(COUNTIF(F5:F12,"FAIL")=0,"PASS","FAIL")</x:f>
        <x:v>PASS</x:v>
      </x:c>
    </x:row>
  </x:sheetData>
  <x:mergeCells>
    <x:mergeCell ref="A1:G1"/>
    <x:mergeCell ref="A2:G2"/>
  </x:mergeCells>
  <x:conditionalFormatting sqref="F5:F1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13" hidden="0" customWidth="1"/>
    <x:col min="5" max="5" width="14" hidden="0" customWidth="1"/>
    <x:col min="6" max="6" width="34" hidden="0" customWidth="1"/>
    <x:col min="7" max="7" width="74" hidden="0" customWidth="1"/>
    <x:col min="8" max="8" width="22" hidden="0" customWidth="1"/>
  </x:cols>
  <x:sheetData>
    <x:row r="1" ht="21.600000381469727" hidden="0" customHeight="1">
      <x:c r="A1" s="3" t="str">
        <x:v>来源索引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直接输入来自中国平安年报及平安产险年度信息披露报告；旧准则原报2022未接入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7" t="str">
        <x:v>来源ID</x:v>
      </x:c>
      <x:c r="B4" s="17" t="str">
        <x:v>文件</x:v>
      </x:c>
      <x:c r="C4" s="17" t="str">
        <x:v>PDF页码</x:v>
      </x:c>
      <x:c r="D4" s="17" t="str">
        <x:v>报告页码</x:v>
      </x:c>
      <x:c r="E4" s="17" t="str">
        <x:v>期间</x:v>
      </x:c>
      <x:c r="F4" s="17" t="str">
        <x:v>用途</x:v>
      </x:c>
      <x:c r="G4" s="17" t="str">
        <x:v>本地路径</x:v>
      </x:c>
      <x:c r="H4" s="17" t="str">
        <x:v>备注</x:v>
      </x:c>
    </x:row>
    <x:row r="5" ht="15" hidden="0" customHeight="1">
      <x:c r="A5" s="21" t="str">
        <x:v>S23A</x:v>
      </x:c>
      <x:c r="B5" s="21" t="str">
        <x:v>中国平安_年报_2023.pdf</x:v>
      </x:c>
      <x:c r="C5" s="21" t="str">
        <x:v>29</x:v>
      </x:c>
      <x:c r="D5" s="21" t="str">
        <x:v>25</x:v>
      </x:c>
      <x:c r="E5" s="21" t="str">
        <x:v>2023</x:v>
      </x:c>
      <x:c r="F5" s="21" t="str">
        <x:v>险种收入、利润、COR</x:v>
      </x:c>
      <x:c r="G5" s="21" t="str">
        <x:v>/Users/arinwu/Downloads/pingan-analysis/00-原始材料/中国平安_年报_2023.pdf</x:v>
      </x:c>
      <x:c r="H5" s="21" t="str">
        <x:v>按险种经营业绩</x:v>
      </x:c>
    </x:row>
    <x:row r="6" ht="15" hidden="0" customHeight="1">
      <x:c r="A6" s="21" t="str">
        <x:v>S24A</x:v>
      </x:c>
      <x:c r="B6" s="21" t="str">
        <x:v>中国平安_年报_2024.pdf</x:v>
      </x:c>
      <x:c r="C6" s="21" t="str">
        <x:v>45</x:v>
      </x:c>
      <x:c r="D6" s="21" t="str">
        <x:v>41</x:v>
      </x:c>
      <x:c r="E6" s="21" t="str">
        <x:v>2024</x:v>
      </x:c>
      <x:c r="F6" s="21" t="str">
        <x:v>险种收入、利润、COR</x:v>
      </x:c>
      <x:c r="G6" s="21" t="str">
        <x:v>/Users/arinwu/Downloads/pingan-analysis/00-原始材料/中国平安_年报_2024.pdf</x:v>
      </x:c>
      <x:c r="H6" s="21" t="str">
        <x:v>按险种经营业绩</x:v>
      </x:c>
    </x:row>
    <x:row r="7" ht="15" hidden="0" customHeight="1">
      <x:c r="A7" s="21" t="str">
        <x:v>S25A</x:v>
      </x:c>
      <x:c r="B7" s="21" t="str">
        <x:v>中国平安_年报_2025.pdf</x:v>
      </x:c>
      <x:c r="C7" s="21" t="str">
        <x:v>56</x:v>
      </x:c>
      <x:c r="D7" s="21" t="str">
        <x:v>52</x:v>
      </x:c>
      <x:c r="E7" s="21" t="str">
        <x:v>2025</x:v>
      </x:c>
      <x:c r="F7" s="21" t="str">
        <x:v>险种收入、利润、COR及公式</x:v>
      </x:c>
      <x:c r="G7" s="21" t="str">
        <x:v>/Users/arinwu/Downloads/pingan-analysis/00-原始材料/中国平安_年报_2025.pdf</x:v>
      </x:c>
      <x:c r="H7" s="21" t="str">
        <x:v>按险种经营业绩</x:v>
      </x:c>
    </x:row>
    <x:row r="8" ht="15" hidden="0" customHeight="1">
      <x:c r="A8" s="21" t="str">
        <x:v>S23B</x:v>
      </x:c>
      <x:c r="B8" s="21" t="str">
        <x:v>平安产险_年度信息披露报告_2023.pdf</x:v>
      </x:c>
      <x:c r="C8" s="21" t="str">
        <x:v>118</x:v>
      </x:c>
      <x:c r="D8" s="21" t="str">
        <x:v>—</x:v>
      </x:c>
      <x:c r="E8" s="21" t="str">
        <x:v>2023</x:v>
      </x:c>
      <x:c r="F8" s="21" t="str">
        <x:v>四分部收入与营业利润</x:v>
      </x:c>
      <x:c r="G8" s="21" t="str">
        <x:v>/Users/arinwu/Downloads/pingan-analysis/00-原始材料/平安产险_年度信息披露报告_2023.pdf</x:v>
      </x:c>
      <x:c r="H8" s="21" t="str">
        <x:v>分部报告</x:v>
      </x:c>
    </x:row>
    <x:row r="9" ht="15" hidden="0" customHeight="1">
      <x:c r="A9" s="21" t="str">
        <x:v>S24B</x:v>
      </x:c>
      <x:c r="B9" s="21" t="str">
        <x:v>平安产险_年度信息披露报告_2025.pdf</x:v>
      </x:c>
      <x:c r="C9" s="21" t="str">
        <x:v>119</x:v>
      </x:c>
      <x:c r="D9" s="21" t="str">
        <x:v>—</x:v>
      </x:c>
      <x:c r="E9" s="21" t="str">
        <x:v>2024比较数</x:v>
      </x:c>
      <x:c r="F9" s="21" t="str">
        <x:v>四分部收入与营业利润</x:v>
      </x:c>
      <x:c r="G9" s="21" t="str">
        <x:v>/Users/arinwu/Downloads/pingan-analysis/00-原始材料/平安产险_年度信息披露报告_2025.pdf</x:v>
      </x:c>
      <x:c r="H9" s="21" t="str">
        <x:v>分部报告</x:v>
      </x:c>
    </x:row>
    <x:row r="10" ht="15" hidden="0" customHeight="1">
      <x:c r="A10" s="21" t="str">
        <x:v>S25B</x:v>
      </x:c>
      <x:c r="B10" s="21" t="str">
        <x:v>平安产险_年度信息披露报告_2025.pdf</x:v>
      </x:c>
      <x:c r="C10" s="21" t="str">
        <x:v>117</x:v>
      </x:c>
      <x:c r="D10" s="21" t="str">
        <x:v>—</x:v>
      </x:c>
      <x:c r="E10" s="21" t="str">
        <x:v>2025</x:v>
      </x:c>
      <x:c r="F10" s="21" t="str">
        <x:v>四分部收入与营业利润</x:v>
      </x:c>
      <x:c r="G10" s="21" t="str">
        <x:v>/Users/arinwu/Downloads/pingan-analysis/00-原始材料/平安产险_年度信息披露报告_2025.pdf</x:v>
      </x:c>
      <x:c r="H10" s="21" t="str">
        <x:v>分部报告</x:v>
      </x:c>
    </x:row>
    <x:row r="11" ht="15" hidden="0" customHeight="1">
      <x:c r="A11" s="21" t="str">
        <x:v>M1</x:v>
      </x:c>
      <x:c r="B11" s="21" t="str">
        <x:v>阶段3-2_保证保险贡献.csv</x:v>
      </x:c>
      <x:c r="C11" s="21" t="str">
        <x:v>—</x:v>
      </x:c>
      <x:c r="D11" s="21" t="str">
        <x:v>—</x:v>
      </x:c>
      <x:c r="E11" s="21" t="str">
        <x:v>2023–2025</x:v>
      </x:c>
      <x:c r="F11" s="21" t="str">
        <x:v>精确分部底数复用</x:v>
      </x:c>
      <x:c r="G11" s="21" t="str">
        <x:v>/Users/arinwu/Downloads/pingan-analysis/01-数据/阶段3-2_保证保险贡献.csv</x:v>
      </x:c>
      <x:c r="H11" s="21" t="str">
        <x:v>阶段3-2已完成勾稽</x:v>
      </x:c>
    </x:row>
  </x:sheetData>
  <x:mergeCells>
    <x:mergeCell ref="A1:H1"/>
    <x:mergeCell ref="A2:H2"/>
  </x:mergeCells>
  <x:pageMargins left="0.7" right="0.7" top="0.75" bottom="0.75" header="0.3" footer="0.3"/>
</x:worksheet>
</file>