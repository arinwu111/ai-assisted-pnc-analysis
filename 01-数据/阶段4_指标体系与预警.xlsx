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30deedd20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b442bc987c4a58"/>
    <x:sheet xmlns:r="http://schemas.openxmlformats.org/officeDocument/2006/relationships" name="Metric_Tree" sheetId="2" r:id="Ree8fab3928954528"/>
    <x:sheet xmlns:r="http://schemas.openxmlformats.org/officeDocument/2006/relationships" name="Thresholds" sheetId="3" r:id="R7f05cc8c79654087"/>
    <x:sheet xmlns:r="http://schemas.openxmlformats.org/officeDocument/2006/relationships" name="Quarterly_Data" sheetId="4" r:id="R593fca979be34a02"/>
    <x:sheet xmlns:r="http://schemas.openxmlformats.org/officeDocument/2006/relationships" name="Annual_Data" sheetId="5" r:id="Rf76f5f39e32a4590"/>
    <x:sheet xmlns:r="http://schemas.openxmlformats.org/officeDocument/2006/relationships" name="Specialty_Triggers" sheetId="6" r:id="R9fe03072686b45bf"/>
    <x:sheet xmlns:r="http://schemas.openxmlformats.org/officeDocument/2006/relationships" name="Actions_90D" sheetId="7" r:id="Rc4aaa77253d544ef"/>
    <x:sheet xmlns:r="http://schemas.openxmlformats.org/officeDocument/2006/relationships" name="Checks" sheetId="8" r:id="R6be58865efad414e"/>
    <x:sheet xmlns:r="http://schemas.openxmlformats.org/officeDocument/2006/relationships" name="Sources" sheetId="9" r:id="Rf0c54af9bbd342cb"/>
  </x:sheets>
</x:workbook>
</file>

<file path=xl/comments1.xml><?xml version="1.0" encoding="utf-8"?>
<x:comments xmlns:x="http://schemas.openxmlformats.org/spreadsheetml/2006/main">
  <x:authors>
    <x:author>tc={2E16D4F7-E205-3C86-822E-C8B5F3BDB01F}</x:author>
    <x:author>tc={9A973BA0-A9E7-4C5C-ACF2-DDB48F9C95A1}</x:author>
    <x:author>tc={524A818B-8A95-A6CE-3625-FCC93EB4C44A}</x:author>
    <x:author>tc={0C0CCCE1-743A-620D-9B32-91BBAB3979CD}</x:author>
    <x:author>tc={823EC922-9C00-3084-E98F-0B44977AB9A2}</x:author>
    <x:author>tc={414C756D-7CBF-5258-F1C7-C2B60091064B}</x:author>
    <x:author>tc={F9731FB0-9FE5-4B7A-F67F-B496D3460174}</x:author>
    <x:author>tc={BDC59048-7842-9EF5-2FEC-5B1301B0A025}</x:author>
    <x:author>tc={8F683DF9-5BB7-EFE8-3ABB-DD9A60C1BBD9}</x:author>
    <x:author>tc={9BD602FB-DFD4-14E2-24E5-8CCD69909D3D}</x:author>
    <x:author>tc={7A59B648-5934-BB2D-BAB3-E029FD42A922}</x:author>
    <x:author>tc={8071EC54-27F5-DC18-D1D7-2B851EA6EE42}</x:author>
    <x:author>tc={72968CBB-7B59-C6A5-23F5-9CDDA9CBFEF3}</x:author>
    <x:author>tc={86564FB5-669D-467A-474F-3DA2CDB5FED8}</x:author>
    <x:author>tc={2DC59C26-2333-E7C9-56FA-23609B38E44C}</x:author>
    <x:author>tc={E018A17A-710F-392E-D150-FA534273D3ED}</x:author>
  </x:authors>
  <x:commentList>
    <x:comment ref="D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平安产险_偿付能力报告_2025Q1.pdf，PDF第18页，主要经营指标表；平安产险_偿付能力报告_2026Q1.pdf，PDF第18页，主要经营指标表</x:t>
        </x:r>
      </x:text>
    </x:comment>
    <x:comment ref="D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；平安产险_偿付能力报告_2026Q1.pdf，PDF第18页，主要经营指标表；监管总局_保险业经营情况表_2025-03.xlsx，工作表《保险业经营数据（月度）》第7行（财产险）；监管总局_保险业经营情况表_2026-03.xls，工作表《保险业经营数据（月度）》第8行（财产险）</x:t>
        </x:r>
      </x:text>
    </x:comment>
    <x:comment ref="D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平安产险_偿付能力报告_2025Q1.pdf，PDF第18页，主要经营指标表；平安产险_偿付能力报告_2026Q1.pdf，PDF第18页，主要经营指标表</x:t>
        </x:r>
      </x:text>
    </x:comment>
    <x:comment ref="D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平安产险_偿付能力报告_2025Q1.pdf，PDF第18页，主要经营指标表；平安产险_偿付能力报告_2026Q1.pdf，PDF第18页，主要经营指标表</x:t>
        </x:r>
      </x:text>
    </x:comment>
    <x:comment ref="D1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平安产险_偿付能力报告_2025Q1.pdf，PDF第18页，主要经营指标表；平安产险_偿付能力报告_2026Q1.pdf，PDF第18页，主要经营指标表</x:t>
        </x:r>
      </x:text>
    </x:comment>
    <x:comment ref="D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  <x:comment ref="D14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平安产险_偿付能力报告_2025Q1.pdf，PDF第18页，主要经营指标表；平安产险_偿付能力报告_2026Q1.pdf，PDF第18页，主要经营指标表</x:t>
        </x:r>
      </x:text>
    </x:comment>
    <x:comment ref="D1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平安产险_偿付能力报告_2025Q1.pdf，PDF第18页，主要经营指标表；平安产险_偿付能力报告_2026Q1.pdf，PDF第18页，主要经营指标表</x:t>
        </x:r>
      </x:text>
    </x:comment>
    <x:comment ref="D1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中国平安_年报_2025.pdf，PDF第56页（报告印刷页码52），按险种划分的经营业绩表及COR公式</x:t>
        </x:r>
      </x:text>
    </x:comment>
    <x:comment ref="D1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第45页（报告印刷页码41），按险种划分的经营业绩表；中国平安_年报_2025.pdf，PDF第56页（报告印刷页码52），按险种划分的经营业绩表及COR公式；平安产险_年度信息披露报告_2025.pdf，PDF第119页，分部报告（2024年度比较数）；平安产险_年度信息披露报告_2025.pdf，PDF第117页，分部报告（2025年度）</x:t>
        </x:r>
      </x:text>
    </x:comment>
    <x:comment ref="D1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中国平安_年报_2025.pdf，PDF第56页（报告印刷页码52），按险种划分的经营业绩表及COR公式</x:t>
        </x:r>
      </x:text>
    </x:comment>
    <x:comment ref="D1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57页（报告印刷页码53），经营业绩/产险业务分析表；人保财险_年报_2025.pdf，PDF第14页（报告印刷页码12），承保业绩表；中国太保_年报_2025.pdf，PDF第44页（报告印刷页码27），产险业务经营指标</x:t>
        </x:r>
      </x:text>
    </x:comment>
    <x:comment ref="D2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；平安产险_年度信息披露报告_2025.pdf，PDF第117页，分部报告（2025年度）；中国平安_年报_2025.pdf，PDF第56页（报告印刷页码52），按险种划分的经营业绩表及COR公式</x:t>
        </x:r>
      </x:text>
    </x:comment>
    <x:comment ref="D2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54页（报告印刷页码50），车险经营数据；中国平安_年报_2025.pdf，PDF第58页（报告印刷页码54），原保险保费按险种；中国平安_年报_2024.pdf，PDF第44至45页（报告印刷页码40至41），车险经营数据；用户确认假设A1</x:t>
        </x:r>
      </x:text>
    </x:comment>
    <x:comment ref="D2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中国平安_年报_2024.pdf，PDF第46页（报告印刷页码42），经营业绩/产险业务分析表；中国平安_年报_2025.pdf，PDF第57页（报告印刷页码53），经营业绩/产险业务分析表</x:t>
        </x:r>
      </x:text>
    </x:comment>
    <x:comment ref="D2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平安产险_偿付能力报告_2025Q1.pdf，PDF第18页，主要经营指标表；平安产险_偿付能力报告_2026Q1.pdf，PDF第18页，主要经营指标表</x:t>
        </x:r>
      </x:text>
    </x:comment>
  </x:commentList>
</x:comments>
</file>

<file path=xl/comments2.xml><?xml version="1.0" encoding="utf-8"?>
<x:comments xmlns:x="http://schemas.openxmlformats.org/spreadsheetml/2006/main">
  <x:authors>
    <x:author>tc={D6331DA2-F199-CD77-082C-9B1EE6AAE0DC}</x:author>
    <x:author>tc={F08D3681-A605-E9DB-EF0D-F768B9C1A184}</x:author>
    <x:author>tc={2809ACFD-24B0-EEB3-9973-AF56A5998D8C}</x:author>
    <x:author>tc={5784E764-299C-C0A7-0734-A1919DB6C92F}</x:author>
    <x:author>tc={03AF28A8-08A9-B818-3D79-91B73BE5C066}</x:author>
    <x:author>tc={65DD0035-93ED-3E1F-DE23-7F6AD3891F9D}</x:author>
    <x:author>tc={91616817-1EE3-40DB-8FE5-012FBA5AB1A2}</x:author>
    <x:author>tc={30E1F060-3AA0-FA2E-03B2-EEAD0EABB693}</x:author>
    <x:author>tc={F0A5D822-A612-09B4-05FB-A1C546192AA9}</x:author>
    <x:author>tc={2AA0116C-2EF5-9B7E-EB38-C27D5D7B0397}</x:author>
    <x:author>tc={9D6A02BF-4F37-7A55-F0A1-977CE03C1427}</x:author>
    <x:author>tc={9C6C9D4F-5D1A-C821-AB2F-45F6F9CCE846}</x:author>
    <x:author>tc={3C1F893C-B8AB-9129-E5EF-39C0A088BC36}</x:author>
    <x:author>tc={B346C575-9ABD-D6FD-97B3-87EAACCEEDF2}</x:author>
    <x:author>tc={684EABA1-875D-8B2F-311A-54C653070EB5}</x:author>
    <x:author>tc={C7B91B5A-1747-84F8-F98F-645EC3B2FFE3}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  <x:comment ref="B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</x:t>
        </x:r>
      </x:text>
    </x:comment>
    <x:comment ref="C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  <x:comment ref="B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</x:t>
        </x:r>
      </x:text>
    </x:comment>
    <x:comment ref="C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  <x:comment ref="B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</x:t>
        </x:r>
      </x:text>
    </x:comment>
    <x:comment ref="C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  <x:comment ref="B1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</x:t>
        </x:r>
      </x:text>
    </x:comment>
    <x:comment ref="C1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  <x:comment ref="B1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</x:t>
        </x:r>
      </x:text>
    </x:comment>
    <x:comment ref="C1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  <x:comment ref="B1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平安产险_偿付能力报告_2025Q1.pdf，PDF第18页，主要经营指标表</x:t>
        </x:r>
      </x:text>
    </x:comment>
    <x:comment ref="C1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平安产险_偿付能力报告_2026Q1.pdf，PDF第18页，主要经营指标表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;[Red](0.00);-"/>
    <x:numFmt numFmtId="201" formatCode="#,##0.0"/>
    <x:numFmt numFmtId="202" formatCode="#,##0"/>
    <x:numFmt numFmtId="203" formatCode="0.0%"/>
    <x:numFmt numFmtId="204" formatCode="0.00%;[Red](0.00%);-"/>
    <x:numFmt numFmtId="205" formatCode="0.00%"/>
    <x:numFmt numFmtId="206" formatCode="0.0000"/>
    <x:numFmt numFmtId="207" formatCode="0.0000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6666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4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B458"/>
      </x:left>
      <x:top style="thin">
        <x:color rgb="FFC9B458"/>
      </x:top>
      <x:bottom style="thin">
        <x:color rgb="FFC9B458"/>
      </x:bottom>
    </x:border>
    <x:border>
      <x:top style="thin">
        <x:color rgb="FFC9B458"/>
      </x:top>
      <x:bottom style="thin">
        <x:color rgb="FFC9B458"/>
      </x:bottom>
    </x:border>
    <x:border>
      <x:right style="thin">
        <x:color rgb="FFC9B458"/>
      </x:right>
      <x:top style="thin">
        <x:color rgb="FFC9B458"/>
      </x:top>
      <x:bottom style="thin">
        <x:color rgb="FFC9B458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3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4" fillId="5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0" fillId="0" borderId="2" xfId="0" applyNumberFormat="1" applyFont="1" applyFill="1" applyBorder="1"/>
    <x:xf numFmtId="204" fontId="5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0" fontId="5" fillId="0" borderId="2" xfId="0" applyNumberFormat="1" applyFont="1" applyFill="1" applyBorder="1"/>
    <x:xf numFmtId="201" fontId="0" fillId="0" borderId="2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0" fillId="0" borderId="2" xfId="0" applyNumberFormat="1" applyFont="1" applyFill="1" applyBorder="1"/>
    <x:xf numFmtId="200" fontId="0" fillId="0" borderId="2" xfId="0" applyNumberFormat="1" applyFont="1" applyFill="1" applyBorder="1"/>
    <x:xf numFmtId="204" fontId="0" fillId="0" borderId="2" xfId="0" applyNumberFormat="1" applyFont="1" applyFill="1" applyBorder="1"/>
    <x:xf numFmtId="205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4" fontId="0" fillId="0" borderId="2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0" fillId="0" borderId="2" xfId="0" applyNumberFormat="1" applyFont="1" applyFill="1" applyBorder="1"/>
    <x:xf numFmtId="206" fontId="0" fillId="0" borderId="2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3" fontId="7" fillId="0" borderId="0" xfId="0" applyNumberFormat="1" applyFont="1" applyFill="1" applyBorder="1"/>
    <x:xf numFmtId="200" fontId="7" fillId="0" borderId="0" xfId="0" applyNumberFormat="1" applyFont="1" applyFill="1" applyBorder="1"/>
    <x:xf numFmtId="204" fontId="7" fillId="0" borderId="0" xfId="0" applyNumberFormat="1" applyFont="1" applyFill="1" applyBorder="1"/>
    <x:xf numFmtId="202" fontId="7" fillId="0" borderId="2" xfId="0" applyNumberFormat="1" applyFont="1" applyFill="1" applyBorder="1"/>
    <x:xf numFmtId="205" fontId="7" fillId="0" borderId="2" xfId="0" applyNumberFormat="1" applyFont="1" applyFill="1" applyBorder="1"/>
    <x:xf numFmtId="203" fontId="7" fillId="0" borderId="2" xfId="0" applyNumberFormat="1" applyFont="1" applyFill="1" applyBorder="1"/>
    <x:xf numFmtId="200" fontId="7" fillId="0" borderId="2" xfId="0" applyNumberFormat="1" applyFont="1" applyFill="1" applyBorder="1"/>
    <x:xf numFmtId="204" fontId="7" fillId="0" borderId="2" xfId="0" applyNumberFormat="1" applyFont="1" applyFill="1" applyBorder="1"/>
    <x:xf numFmtId="202" fontId="7" fillId="0" borderId="2" xfId="0" applyNumberFormat="1" applyFont="1" applyFill="1" applyBorder="1" applyAlignment="1">
      <x:alignment vertical="center"/>
    </x:xf>
    <x:xf numFmtId="205" fontId="7" fillId="0" borderId="2" xfId="0" applyNumberFormat="1" applyFont="1" applyFill="1" applyBorder="1" applyAlignment="1">
      <x:alignment vertical="center"/>
    </x:xf>
    <x:xf numFmtId="203" fontId="7" fillId="0" borderId="2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204" fontId="7" fillId="0" borderId="2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207" fontId="0" fillId="0" borderId="2" xfId="0" applyNumberFormat="1" applyFont="1" applyFill="1" applyBorder="1"/>
    <x:xf numFmtId="207" fontId="0" fillId="0" borderId="2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65b77b07441db" /><Relationship Type="http://schemas.openxmlformats.org/officeDocument/2006/relationships/theme" Target="/xl/theme/theme1.xml" Id="R7b03436e2bd84746" /><Relationship Type="http://schemas.openxmlformats.org/officeDocument/2006/relationships/sharedStrings" Target="/xl/sharedStrings.xml" Id="Rd42e67a2cc9d4327" /><Relationship Type="http://schemas.openxmlformats.org/officeDocument/2006/relationships/worksheet" Target="/xl/worksheets/sheet1.xml" Id="R98b442bc987c4a58" /><Relationship Type="http://schemas.openxmlformats.org/officeDocument/2006/relationships/worksheet" Target="/xl/worksheets/sheet2.xml" Id="Ree8fab3928954528" /><Relationship Type="http://schemas.openxmlformats.org/officeDocument/2006/relationships/worksheet" Target="/xl/worksheets/sheet3.xml" Id="R7f05cc8c79654087" /><Relationship Type="http://schemas.openxmlformats.org/officeDocument/2006/relationships/worksheet" Target="/xl/worksheets/sheet4.xml" Id="R593fca979be34a02" /><Relationship Type="http://schemas.openxmlformats.org/officeDocument/2006/relationships/worksheet" Target="/xl/worksheets/sheet5.xml" Id="Rf76f5f39e32a4590" /><Relationship Type="http://schemas.openxmlformats.org/officeDocument/2006/relationships/worksheet" Target="/xl/worksheets/sheet6.xml" Id="R9fe03072686b45bf" /><Relationship Type="http://schemas.openxmlformats.org/officeDocument/2006/relationships/worksheet" Target="/xl/worksheets/sheet7.xml" Id="Rc4aaa77253d544ef" /><Relationship Type="http://schemas.openxmlformats.org/officeDocument/2006/relationships/worksheet" Target="/xl/worksheets/sheet8.xml" Id="R6be58865efad414e" /><Relationship Type="http://schemas.openxmlformats.org/officeDocument/2006/relationships/worksheet" Target="/xl/worksheets/sheet9.xml" Id="Rf0c54af9bbd342cb" /><Relationship Type="http://schemas.microsoft.com/office/2017/10/relationships/person" Target="/xl/persons/person.xml" Id="R0c01e34a0e6f4760" /></Relationships>
</file>

<file path=xl/persons/person.xml><?xml version="1.0" encoding="utf-8"?>
<xltc:personList xmlns:xltc="http://schemas.microsoft.com/office/spreadsheetml/2018/threadedcomments">
  <xltc:person displayName="User" id="{CCD06282-AB8B-4840-A946-C6B0A04C115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8" dT="2026-08-15T16:34:25.351" personId="{CCD06282-AB8B-4840-A946-C6B0A04C1150}" id="{2E16D4F7-E205-3C86-822E-C8B5F3BDB01F}">
    <xltc:text>Source: 平安产险_偿付能力报告_2025Q1.pdf，PDF第18页，主要经营指标表；平安产险_偿付能力报告_2026Q1.pdf，PDF第18页，主要经营指标表</xltc:text>
  </xltc:threadedComment>
  <xltc:threadedComment ref="D9" dT="2026-08-15T16:34:25.354" personId="{CCD06282-AB8B-4840-A946-C6B0A04C1150}" id="{9A973BA0-A9E7-4C5C-ACF2-DDB48F9C95A1}">
    <xltc:text>Source: 平安产险_偿付能力报告_2025Q1.pdf，PDF第18页，主要经营指标表；平安产险_偿付能力报告_2026Q1.pdf，PDF第18页，主要经营指标表；监管总局_保险业经营情况表_2025-03.xlsx，工作表《保险业经营数据（月度）》第7行（财产险）；监管总局_保险业经营情况表_2026-03.xls，工作表《保险业经营数据（月度）》第8行（财产险）</xltc:text>
  </xltc:threadedComment>
  <xltc:threadedComment ref="D10" dT="2026-08-15T16:34:25.355" personId="{CCD06282-AB8B-4840-A946-C6B0A04C1150}" id="{524A818B-8A95-A6CE-3625-FCC93EB4C44A}">
    <xltc:text>Source: 平安产险_偿付能力报告_2025Q1.pdf，PDF第18页，主要经营指标表；平安产险_偿付能力报告_2026Q1.pdf，PDF第18页，主要经营指标表</xltc:text>
  </xltc:threadedComment>
  <xltc:threadedComment ref="D11" dT="2026-08-15T16:34:25.355" personId="{CCD06282-AB8B-4840-A946-C6B0A04C1150}" id="{0C0CCCE1-743A-620D-9B32-91BBAB3979CD}">
    <xltc:text>Source: 平安产险_偿付能力报告_2025Q1.pdf，PDF第18页，主要经营指标表；平安产险_偿付能力报告_2026Q1.pdf，PDF第18页，主要经营指标表</xltc:text>
  </xltc:threadedComment>
  <xltc:threadedComment ref="D12" dT="2026-08-15T16:34:25.355" personId="{CCD06282-AB8B-4840-A946-C6B0A04C1150}" id="{823EC922-9C00-3084-E98F-0B44977AB9A2}">
    <xltc:text>Source: 平安产险_偿付能力报告_2025Q1.pdf，PDF第18页，主要经营指标表；平安产险_偿付能力报告_2026Q1.pdf，PDF第18页，主要经营指标表</xltc:text>
  </xltc:threadedComment>
  <xltc:threadedComment ref="D13" dT="2026-08-15T16:34:25.356" personId="{CCD06282-AB8B-4840-A946-C6B0A04C1150}" id="{414C756D-7CBF-5258-F1C7-C2B60091064B}">
    <xltc:text>Source: 平安产险_偿付能力报告_2026Q1.pdf，PDF第18页，主要经营指标表</xltc:text>
  </xltc:threadedComment>
  <xltc:threadedComment ref="D14" dT="2026-08-15T16:34:25.356" personId="{CCD06282-AB8B-4840-A946-C6B0A04C1150}" id="{F9731FB0-9FE5-4B7A-F67F-B496D3460174}">
    <xltc:text>Source: 平安产险_偿付能力报告_2025Q1.pdf，PDF第18页，主要经营指标表；平安产险_偿付能力报告_2026Q1.pdf，PDF第18页，主要经营指标表</xltc:text>
  </xltc:threadedComment>
  <xltc:threadedComment ref="D15" dT="2026-08-15T16:34:25.356" personId="{CCD06282-AB8B-4840-A946-C6B0A04C1150}" id="{BDC59048-7842-9EF5-2FEC-5B1301B0A025}">
    <xltc:text>Source: 平安产险_偿付能力报告_2025Q1.pdf，PDF第18页，主要经营指标表；平安产险_偿付能力报告_2026Q1.pdf，PDF第18页，主要经营指标表</xltc:text>
  </xltc:threadedComment>
  <xltc:threadedComment ref="D16" dT="2026-08-15T16:34:25.357" personId="{CCD06282-AB8B-4840-A946-C6B0A04C1150}" id="{8F683DF9-5BB7-EFE8-3ABB-DD9A60C1BBD9}">
    <xltc:text>Source: 中国平安_年报_2025.pdf，PDF第56页（报告印刷页码52），按险种划分的经营业绩表及COR公式</xltc:text>
  </xltc:threadedComment>
  <xltc:threadedComment ref="D17" dT="2026-08-15T16:34:25.357" personId="{CCD06282-AB8B-4840-A946-C6B0A04C1150}" id="{9BD602FB-DFD4-14E2-24E5-8CCD69909D3D}">
    <xltc:text>Source: 中国平安_年报_2024.pdf，PDF第45页（报告印刷页码41），按险种划分的经营业绩表；中国平安_年报_2025.pdf，PDF第56页（报告印刷页码52），按险种划分的经营业绩表及COR公式；平安产险_年度信息披露报告_2025.pdf，PDF第119页，分部报告（2024年度比较数）；平安产险_年度信息披露报告_2025.pdf，PDF第117页，分部报告（2025年度）</xltc:text>
  </xltc:threadedComment>
  <xltc:threadedComment ref="D18" dT="2026-08-15T16:34:25.357" personId="{CCD06282-AB8B-4840-A946-C6B0A04C1150}" id="{7A59B648-5934-BB2D-BAB3-E029FD42A922}">
    <xltc:text>Source: 中国平安_年报_2025.pdf，PDF第56页（报告印刷页码52），按险种划分的经营业绩表及COR公式</xltc:text>
  </xltc:threadedComment>
  <xltc:threadedComment ref="D19" dT="2026-08-15T16:34:25.358" personId="{CCD06282-AB8B-4840-A946-C6B0A04C1150}" id="{8071EC54-27F5-DC18-D1D7-2B851EA6EE42}">
    <xltc:text>Source: 中国平安_年报_2025.pdf，PDF第57页（报告印刷页码53），经营业绩/产险业务分析表；人保财险_年报_2025.pdf，PDF第14页（报告印刷页码12），承保业绩表；中国太保_年报_2025.pdf，PDF第44页（报告印刷页码27），产险业务经营指标</xltc:text>
  </xltc:threadedComment>
  <xltc:threadedComment ref="D20" dT="2026-08-15T16:34:25.358" personId="{CCD06282-AB8B-4840-A946-C6B0A04C1150}" id="{72968CBB-7B59-C6A5-23F5-9CDDA9CBFEF3}">
    <xltc:text>Source: 平安产险_年度信息披露报告_2023.pdf，PDF第118页，分部报告（2023年度）；平安产险_年度信息披露报告_2025.pdf，PDF第117页，分部报告（2025年度）；中国平安_年报_2025.pdf，PDF第56页（报告印刷页码52），按险种划分的经营业绩表及COR公式</xltc:text>
  </xltc:threadedComment>
  <xltc:threadedComment ref="D21" dT="2026-08-15T16:34:25.358" personId="{CCD06282-AB8B-4840-A946-C6B0A04C1150}" id="{86564FB5-669D-467A-474F-3DA2CDB5FED8}">
    <xltc:text>Source: 中国平安_年报_2025.pdf，PDF第54页（报告印刷页码50），车险经营数据；中国平安_年报_2025.pdf，PDF第58页（报告印刷页码54），原保险保费按险种；中国平安_年报_2024.pdf，PDF第44至45页（报告印刷页码40至41），车险经营数据；用户确认假设A1</xltc:text>
  </xltc:threadedComment>
  <xltc:threadedComment ref="D22" dT="2026-08-15T16:34:25.359" personId="{CCD06282-AB8B-4840-A946-C6B0A04C1150}" id="{2DC59C26-2333-E7C9-56FA-23609B38E44C}">
    <xltc:text>Source: 中国平安_年报_2024.pdf，PDF第46页（报告印刷页码42），经营业绩/产险业务分析表；中国平安_年报_2025.pdf，PDF第57页（报告印刷页码53），经营业绩/产险业务分析表</xltc:text>
  </xltc:threadedComment>
  <xltc:threadedComment ref="D23" dT="2026-08-15T16:34:25.359" personId="{CCD06282-AB8B-4840-A946-C6B0A04C1150}" id="{E018A17A-710F-392E-D150-FA534273D3ED}">
    <xltc:text>Source: 平安产险_偿付能力报告_2025Q1.pdf，PDF第18页，主要经营指标表；平安产险_偿付能力报告_2026Q1.pdf，PDF第18页，主要经营指标表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8-15T16:34:25.308" personId="{CCD06282-AB8B-4840-A946-C6B0A04C1150}" id="{D6331DA2-F199-CD77-082C-9B1EE6AAE0DC}">
    <xltc:text>Source: 平安产险_偿付能力报告_2025Q1.pdf，PDF第18页，主要经营指标表</xltc:text>
  </xltc:threadedComment>
  <xltc:threadedComment ref="C5" dT="2026-08-15T16:34:25.315" personId="{CCD06282-AB8B-4840-A946-C6B0A04C1150}" id="{F08D3681-A605-E9DB-EF0D-F768B9C1A184}">
    <xltc:text>Source: 平安产险_偿付能力报告_2026Q1.pdf，PDF第18页，主要经营指标表</xltc:text>
  </xltc:threadedComment>
  <xltc:threadedComment ref="B6" dT="2026-08-15T16:34:25.316" personId="{CCD06282-AB8B-4840-A946-C6B0A04C1150}" id="{2809ACFD-24B0-EEB3-9973-AF56A5998D8C}">
    <xltc:text>Source: 平安产险_偿付能力报告_2025Q1.pdf，PDF第18页，主要经营指标表</xltc:text>
  </xltc:threadedComment>
  <xltc:threadedComment ref="C6" dT="2026-08-15T16:34:25.316" personId="{CCD06282-AB8B-4840-A946-C6B0A04C1150}" id="{5784E764-299C-C0A7-0734-A1919DB6C92F}">
    <xltc:text>Source: 平安产险_偿付能力报告_2026Q1.pdf，PDF第18页，主要经营指标表</xltc:text>
  </xltc:threadedComment>
  <xltc:threadedComment ref="B7" dT="2026-08-15T16:34:25.316" personId="{CCD06282-AB8B-4840-A946-C6B0A04C1150}" id="{03AF28A8-08A9-B818-3D79-91B73BE5C066}">
    <xltc:text>Source: 平安产险_偿付能力报告_2025Q1.pdf，PDF第18页，主要经营指标表</xltc:text>
  </xltc:threadedComment>
  <xltc:threadedComment ref="C7" dT="2026-08-15T16:34:25.316" personId="{CCD06282-AB8B-4840-A946-C6B0A04C1150}" id="{65DD0035-93ED-3E1F-DE23-7F6AD3891F9D}">
    <xltc:text>Source: 平安产险_偿付能力报告_2026Q1.pdf，PDF第18页，主要经营指标表</xltc:text>
  </xltc:threadedComment>
  <xltc:threadedComment ref="B8" dT="2026-08-15T16:34:25.316" personId="{CCD06282-AB8B-4840-A946-C6B0A04C1150}" id="{91616817-1EE3-40DB-8FE5-012FBA5AB1A2}">
    <xltc:text>Source: 平安产险_偿付能力报告_2025Q1.pdf，PDF第18页，主要经营指标表</xltc:text>
  </xltc:threadedComment>
  <xltc:threadedComment ref="C8" dT="2026-08-15T16:34:25.316" personId="{CCD06282-AB8B-4840-A946-C6B0A04C1150}" id="{30E1F060-3AA0-FA2E-03B2-EEAD0EABB693}">
    <xltc:text>Source: 平安产险_偿付能力报告_2026Q1.pdf，PDF第18页，主要经营指标表</xltc:text>
  </xltc:threadedComment>
  <xltc:threadedComment ref="B9" dT="2026-08-15T16:34:25.317" personId="{CCD06282-AB8B-4840-A946-C6B0A04C1150}" id="{F0A5D822-A612-09B4-05FB-A1C546192AA9}">
    <xltc:text>Source: 平安产险_偿付能力报告_2025Q1.pdf，PDF第18页，主要经营指标表</xltc:text>
  </xltc:threadedComment>
  <xltc:threadedComment ref="C9" dT="2026-08-15T16:34:25.317" personId="{CCD06282-AB8B-4840-A946-C6B0A04C1150}" id="{2AA0116C-2EF5-9B7E-EB38-C27D5D7B0397}">
    <xltc:text>Source: 平安产险_偿付能力报告_2026Q1.pdf，PDF第18页，主要经营指标表</xltc:text>
  </xltc:threadedComment>
  <xltc:threadedComment ref="B10" dT="2026-08-15T16:34:25.317" personId="{CCD06282-AB8B-4840-A946-C6B0A04C1150}" id="{9D6A02BF-4F37-7A55-F0A1-977CE03C1427}">
    <xltc:text>Source: 平安产险_偿付能力报告_2025Q1.pdf，PDF第18页，主要经营指标表</xltc:text>
  </xltc:threadedComment>
  <xltc:threadedComment ref="C10" dT="2026-08-15T16:34:25.317" personId="{CCD06282-AB8B-4840-A946-C6B0A04C1150}" id="{9C6C9D4F-5D1A-C821-AB2F-45F6F9CCE846}">
    <xltc:text>Source: 平安产险_偿付能力报告_2026Q1.pdf，PDF第18页，主要经营指标表</xltc:text>
  </xltc:threadedComment>
  <xltc:threadedComment ref="B11" dT="2026-08-15T16:34:25.318" personId="{CCD06282-AB8B-4840-A946-C6B0A04C1150}" id="{3C1F893C-B8AB-9129-E5EF-39C0A088BC36}">
    <xltc:text>Source: 平安产险_偿付能力报告_2025Q1.pdf，PDF第18页，主要经营指标表</xltc:text>
  </xltc:threadedComment>
  <xltc:threadedComment ref="C11" dT="2026-08-15T16:34:25.318" personId="{CCD06282-AB8B-4840-A946-C6B0A04C1150}" id="{B346C575-9ABD-D6FD-97B3-87EAACCEEDF2}">
    <xltc:text>Source: 平安产险_偿付能力报告_2026Q1.pdf，PDF第18页，主要经营指标表</xltc:text>
  </xltc:threadedComment>
  <xltc:threadedComment ref="B12" dT="2026-08-15T16:34:25.318" personId="{CCD06282-AB8B-4840-A946-C6B0A04C1150}" id="{684EABA1-875D-8B2F-311A-54C653070EB5}">
    <xltc:text>Source: 平安产险_偿付能力报告_2025Q1.pdf，PDF第18页，主要经营指标表</xltc:text>
  </xltc:threadedComment>
  <xltc:threadedComment ref="C12" dT="2026-08-15T16:34:25.318" personId="{CCD06282-AB8B-4840-A946-C6B0A04C1150}" id="{C7B91B5A-1747-84F8-F98F-645EC3B2FFE3}">
    <xltc:text>Source: 平安产险_偿付能力报告_2026Q1.pdf，PDF第18页，主要经营指标表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8299c6ec9664a28" /><Relationship Type="http://schemas.openxmlformats.org/officeDocument/2006/relationships/vmlDrawing" Target="/xl/drawings/vmldrawing.vml" Id="R7f7d2ba96a614446" /><Relationship Type="http://schemas.microsoft.com/office/2017/10/relationships/threadedComment" Target="/xl/threadedcomments/threadedcomment.xml" Id="Re5f9dad06e8b4a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6635430f359a4436" /><Relationship Type="http://schemas.openxmlformats.org/officeDocument/2006/relationships/vmlDrawing" Target="/xl/drawings/vmldrawing2.vml" Id="R52583f1639a84a13" /><Relationship Type="http://schemas.microsoft.com/office/2017/10/relationships/threadedComment" Target="/xl/threadedcomments/threadedcomment2.xml" Id="R2d26b88687574e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34" hidden="0" customWidth="1"/>
    <x:col min="9" max="9" width="3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</x:cols>
  <x:sheetData>
    <x:row r="1" ht="21.600000381469727" hidden="0" customHeight="1">
      <x:c r="A1" s="3" t="str">
        <x:v>平安产险常态经营监控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6" t="str">
        <x:v>最新季度2026Q1；年度专题信号使用2025年报；红灯立即触发专题，黄灯观察连续性与关联性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42" hidden="0" customHeight="1">
      <x:c r="A4" s="63" t="str">
        <x:v>判断　整体COR仍在绿区，但核心非车、责任险、保证险依赖和投资收益已触发红灯；车险量价与赔付端出现黄灯。</x:v>
      </x:c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5"/>
    </x:row>
    <x:row r="5"/>
    <x:row r="6"/>
    <x:row r="7" ht="15" hidden="0" customHeight="1">
      <x:c r="A7" s="15" t="str">
        <x:v>指标ID</x:v>
      </x:c>
      <x:c r="B7" s="15" t="str">
        <x:v>层级</x:v>
      </x:c>
      <x:c r="C7" s="15" t="str">
        <x:v>指标</x:v>
      </x:c>
      <x:c r="D7" s="15" t="str">
        <x:v>当前值</x:v>
      </x:c>
      <x:c r="E7" s="15" t="str">
        <x:v>单位</x:v>
      </x:c>
      <x:c r="F7" s="15" t="str">
        <x:v>阈值ID</x:v>
      </x:c>
      <x:c r="G7" s="15" t="str">
        <x:v>状态</x:v>
      </x:c>
      <x:c r="H7" s="15" t="str">
        <x:v>说明</x:v>
      </x:c>
      <x:c r="J7" s="15" t="str">
        <x:v>2025年度结果链</x:v>
      </x:c>
      <x:c r="K7" s="15" t="str">
        <x:v>2024</x:v>
      </x:c>
      <x:c r="L7" s="15" t="str">
        <x:v>2025</x:v>
      </x:c>
      <x:c r="M7" s="15" t="str">
        <x:v>同比/变化</x:v>
      </x:c>
      <x:c r="N7" s="15" t="str">
        <x:v>状态/含义</x:v>
      </x:c>
    </x:row>
    <x:row r="8" ht="15" hidden="0" customHeight="1">
      <x:c r="A8" s="18" t="str">
        <x:v>M01</x:v>
      </x:c>
      <x:c r="B8" s="18" t="str">
        <x:v>保费增长</x:v>
      </x:c>
      <x:c r="C8" s="18" t="str">
        <x:v>签单保费同比</x:v>
      </x:c>
      <x:c r="D8" s="48" t="n">
        <x:v>6.841119013929453</x:v>
      </x:c>
      <x:c r="E8" s="18" t="str">
        <x:v>%</x:v>
      </x:c>
      <x:c r="F8" s="18" t="str">
        <x:v>—</x:v>
      </x:c>
      <x:c r="G8" s="18" t="str">
        <x:v>GREEN</x:v>
      </x:c>
      <x:c r="H8" s="18" t="str">
        <x:v>同时看行业差</x:v>
      </x:c>
      <x:c r="J8" s="18" t="str">
        <x:v>保险服务收入</x:v>
      </x:c>
      <x:c r="K8" s="76" t="n">
        <x:f>'Annual_Data'!B5</x:f>
        <x:v>328146</x:v>
      </x:c>
      <x:c r="L8" s="76" t="n">
        <x:f>'Annual_Data'!C5</x:f>
        <x:v>338912</x:v>
      </x:c>
      <x:c r="M8" s="77" t="n">
        <x:f>'Annual_Data'!D5</x:f>
        <x:v>0.03280856691838396</x:v>
      </x:c>
      <x:c r="N8" s="18" t="str">
        <x:v>规模增长</x:v>
      </x:c>
    </x:row>
    <x:row r="9" ht="15" hidden="0" customHeight="1">
      <x:c r="A9" s="18" t="str">
        <x:v>M02</x:v>
      </x:c>
      <x:c r="B9" s="18" t="str">
        <x:v>保费增长</x:v>
      </x:c>
      <x:c r="C9" s="18" t="str">
        <x:v>保费增速对行业差</x:v>
      </x:c>
      <x:c r="D9" s="48" t="n">
        <x:v>8.184537684733694</x:v>
      </x:c>
      <x:c r="E9" s="18" t="str">
        <x:v>pp</x:v>
      </x:c>
      <x:c r="F9" s="18" t="str">
        <x:v>T07</x:v>
      </x:c>
      <x:c r="G9" s="18" t="str">
        <x:f>IF('Thresholds'!C11="higher_bad",IF(D9&gt;='Thresholds'!E11,"RED",IF(D9&gt;='Thresholds'!D11,"YELLOW","GREEN")),IF(D9&lt;='Thresholds'!E11,"RED",IF(D9&lt;='Thresholds'!D11,"YELLOW","GREEN")))</x:f>
        <x:v>GREEN</x:v>
      </x:c>
      <x:c r="H9" s="18" t="str">
        <x:v>公司签单保费与行业原保费口径不同，仅作方向参照</x:v>
      </x:c>
      <x:c r="J9" s="18" t="str">
        <x:v>综合成本率</x:v>
      </x:c>
      <x:c r="K9" s="78" t="n">
        <x:f>'Annual_Data'!B6</x:f>
        <x:v>0.983</x:v>
      </x:c>
      <x:c r="L9" s="78" t="n">
        <x:f>'Annual_Data'!C6</x:f>
        <x:v>0.968</x:v>
      </x:c>
      <x:c r="M9" s="79" t="n">
        <x:f>'Annual_Data'!D6</x:f>
        <x:v>-1.5000000000000013</x:v>
      </x:c>
      <x:c r="N9" s="18" t="str">
        <x:v>承保改善</x:v>
      </x:c>
    </x:row>
    <x:row r="10" ht="15" hidden="0" customHeight="1">
      <x:c r="A10" s="18" t="str">
        <x:v>M03</x:v>
      </x:c>
      <x:c r="B10" s="18" t="str">
        <x:v>保费增长</x:v>
      </x:c>
      <x:c r="C10" s="18" t="str">
        <x:v>车险签单保费同比</x:v>
      </x:c>
      <x:c r="D10" s="48" t="n">
        <x:v>-0.5035276680190548</x:v>
      </x:c>
      <x:c r="E10" s="18" t="str">
        <x:v>%</x:v>
      </x:c>
      <x:c r="F10" s="18" t="str">
        <x:v>T08</x:v>
      </x:c>
      <x:c r="G10" s="18" t="str">
        <x:f>IF('Thresholds'!C12="higher_bad",IF(D10&gt;='Thresholds'!E12,"RED",IF(D10&gt;='Thresholds'!D12,"YELLOW","GREEN")),IF(D10&lt;='Thresholds'!E12,"RED",IF(D10&lt;='Thresholds'!D12,"YELLOW","GREEN")))</x:f>
        <x:v>YELLOW</x:v>
      </x:c>
      <x:c r="H10" s="18" t="str">
        <x:v>需拆数量与车均保费</x:v>
      </x:c>
      <x:c r="J10" s="18" t="str">
        <x:v>承保利润</x:v>
      </x:c>
      <x:c r="K10" s="76" t="n">
        <x:f>'Annual_Data'!B7</x:f>
        <x:v>5463</x:v>
      </x:c>
      <x:c r="L10" s="76" t="n">
        <x:f>'Annual_Data'!C7</x:f>
        <x:v>10717</x:v>
      </x:c>
      <x:c r="M10" s="80" t="n">
        <x:f>'Annual_Data'!D7</x:f>
        <x:v>0.9617426322533407</x:v>
      </x:c>
      <x:c r="N10" s="18" t="str">
        <x:v>承保利润增加</x:v>
      </x:c>
    </x:row>
    <x:row r="11" ht="15" hidden="0" customHeight="1">
      <x:c r="A11" s="18" t="str">
        <x:v>M04</x:v>
      </x:c>
      <x:c r="B11" s="18" t="str">
        <x:v>保费增长</x:v>
      </x:c>
      <x:c r="C11" s="18" t="str">
        <x:v>车均保费同比</x:v>
      </x:c>
      <x:c r="D11" s="48" t="n">
        <x:v>-2.1299254526091604</x:v>
      </x:c>
      <x:c r="E11" s="18" t="str">
        <x:v>%</x:v>
      </x:c>
      <x:c r="F11" s="18" t="str">
        <x:v>T09</x:v>
      </x:c>
      <x:c r="G11" s="18" t="str">
        <x:f>IF('Thresholds'!C13="higher_bad",IF(D11&gt;='Thresholds'!E13,"RED",IF(D11&gt;='Thresholds'!D13,"YELLOW","GREEN")),IF(D11&lt;='Thresholds'!E13,"RED",IF(D11&lt;='Thresholds'!D13,"YELLOW","GREEN")))</x:f>
        <x:v>YELLOW</x:v>
      </x:c>
      <x:c r="H11" s="18" t="str">
        <x:v>价格与车型/渠道结构混合</x:v>
      </x:c>
      <x:c r="J11" s="18" t="str">
        <x:v>总投资收益</x:v>
      </x:c>
      <x:c r="K11" s="76" t="n">
        <x:f>'Annual_Data'!B8</x:f>
        <x:v>16125</x:v>
      </x:c>
      <x:c r="L11" s="76" t="n">
        <x:f>'Annual_Data'!C8</x:f>
        <x:v>11927</x:v>
      </x:c>
      <x:c r="M11" s="80" t="n">
        <x:f>'Annual_Data'!D8</x:f>
        <x:v>-0.26034108527131783</x:v>
      </x:c>
      <x:c r="N11" s="18" t="str">
        <x:v>RED</x:v>
      </x:c>
    </x:row>
    <x:row r="12" ht="15" hidden="0" customHeight="1">
      <x:c r="A12" s="18" t="str">
        <x:v>M05</x:v>
      </x:c>
      <x:c r="B12" s="18" t="str">
        <x:v>保费增长</x:v>
      </x:c>
      <x:c r="C12" s="18" t="str">
        <x:v>隐含承保车辆数同比</x:v>
      </x:c>
      <x:c r="D12" s="48" t="n">
        <x:v>1.6617927309359182</x:v>
      </x:c>
      <x:c r="E12" s="18" t="str">
        <x:v>%</x:v>
      </x:c>
      <x:c r="F12" s="18" t="str">
        <x:v>—</x:v>
      </x:c>
      <x:c r="G12" s="18" t="str">
        <x:v>GREEN</x:v>
      </x:c>
      <x:c r="H12" s="18" t="str">
        <x:v>签单保费÷件均保费的代理</x:v>
      </x:c>
      <x:c r="J12" s="18" t="str">
        <x:v>净利润</x:v>
      </x:c>
      <x:c r="K12" s="76" t="n">
        <x:f>'Annual_Data'!B9</x:f>
        <x:v>15021</x:v>
      </x:c>
      <x:c r="L12" s="76" t="n">
        <x:f>'Annual_Data'!C9</x:f>
        <x:v>14597</x:v>
      </x:c>
      <x:c r="M12" s="80" t="n">
        <x:f>'Annual_Data'!D9</x:f>
        <x:v>-0.0282271486585447</x:v>
      </x:c>
      <x:c r="N12" s="18" t="str">
        <x:v>净利润未同步增长</x:v>
      </x:c>
    </x:row>
    <x:row r="13" ht="15" hidden="0" customHeight="1">
      <x:c r="A13" s="18" t="str">
        <x:v>M06</x:v>
      </x:c>
      <x:c r="B13" s="18" t="str">
        <x:v>综合成本率</x:v>
      </x:c>
      <x:c r="C13" s="18" t="str">
        <x:v>整体COR</x:v>
      </x:c>
      <x:c r="D13" s="48" t="n">
        <x:v>94.9</x:v>
      </x:c>
      <x:c r="E13" s="18" t="str">
        <x:v>%</x:v>
      </x:c>
      <x:c r="F13" s="18" t="str">
        <x:v>T01</x:v>
      </x:c>
      <x:c r="G13" s="18" t="str">
        <x:f>IF('Thresholds'!C5="higher_bad",IF(D13&gt;='Thresholds'!E5,"RED",IF(D13&gt;='Thresholds'!D5,"YELLOW","GREEN")),IF(D13&lt;='Thresholds'!E5,"RED",IF(D13&lt;='Thresholds'!D5,"YELLOW","GREEN")))</x:f>
        <x:v>GREEN</x:v>
      </x:c>
      <x:c r="H13" s="18" t="str">
        <x:v>偿付能力季度累计口径</x:v>
      </x:c>
    </x:row>
    <x:row r="14" ht="15" hidden="0" customHeight="1">
      <x:c r="A14" s="18" t="str">
        <x:v>M07</x:v>
      </x:c>
      <x:c r="B14" s="18" t="str">
        <x:v>综合成本率</x:v>
      </x:c>
      <x:c r="C14" s="18" t="str">
        <x:v>赔付率同比变化</x:v>
      </x:c>
      <x:c r="D14" s="48" t="n">
        <x:v>0.5</x:v>
      </x:c>
      <x:c r="E14" s="18" t="str">
        <x:v>pp</x:v>
      </x:c>
      <x:c r="F14" s="18" t="str">
        <x:v>T05</x:v>
      </x:c>
      <x:c r="G14" s="18" t="str">
        <x:f>IF('Thresholds'!C9="higher_bad",IF(D14&gt;='Thresholds'!E9,"RED",IF(D14&gt;='Thresholds'!D9,"YELLOW","GREEN")),IF(D14&lt;='Thresholds'!E9,"RED",IF(D14&lt;='Thresholds'!D9,"YELLOW","GREEN")))</x:f>
        <x:v>YELLOW</x:v>
      </x:c>
      <x:c r="H14" s="18" t="str">
        <x:v>正数表示恶化</x:v>
      </x:c>
    </x:row>
    <x:row r="15" ht="15" hidden="0" customHeight="1">
      <x:c r="A15" s="18" t="str">
        <x:v>M08</x:v>
      </x:c>
      <x:c r="B15" s="18" t="str">
        <x:v>综合成本率</x:v>
      </x:c>
      <x:c r="C15" s="18" t="str">
        <x:v>费用率同比变化</x:v>
      </x:c>
      <x:c r="D15" s="48" t="n">
        <x:v>-1.1999999999999993</x:v>
      </x:c>
      <x:c r="E15" s="18" t="str">
        <x:v>pp</x:v>
      </x:c>
      <x:c r="F15" s="18" t="str">
        <x:v>T05</x:v>
      </x:c>
      <x:c r="G15" s="18" t="str">
        <x:f>IF('Thresholds'!C9="higher_bad",IF(D15&gt;='Thresholds'!E9,"RED",IF(D15&gt;='Thresholds'!D9,"YELLOW","GREEN")),IF(D15&lt;='Thresholds'!E9,"RED",IF(D15&lt;='Thresholds'!D9,"YELLOW","GREEN")))</x:f>
        <x:v>GREEN</x:v>
      </x:c>
      <x:c r="H15" s="18" t="str">
        <x:v>正数表示恶化</x:v>
      </x:c>
      <x:c r="J15" s="15" t="str">
        <x:v>状态</x:v>
      </x:c>
      <x:c r="K15" s="15" t="str">
        <x:v>数量</x:v>
      </x:c>
      <x:c r="L15" s="15" t="str">
        <x:v>触发规则</x:v>
      </x:c>
      <x:c r="M15" s="15" t="str">
        <x:v>专题</x:v>
      </x:c>
      <x:c r="N15" s="15" t="str">
        <x:v>处置时限</x:v>
      </x:c>
    </x:row>
    <x:row r="16" ht="15" hidden="0" customHeight="1">
      <x:c r="A16" s="18" t="str">
        <x:v>M09</x:v>
      </x:c>
      <x:c r="B16" s="18" t="str">
        <x:v>综合成本率</x:v>
      </x:c>
      <x:c r="C16" s="18" t="str">
        <x:v>车险COR</x:v>
      </x:c>
      <x:c r="D16" s="48" t="n">
        <x:v>95.8</x:v>
      </x:c>
      <x:c r="E16" s="18" t="str">
        <x:v>%</x:v>
      </x:c>
      <x:c r="F16" s="18" t="str">
        <x:v>T02</x:v>
      </x:c>
      <x:c r="G16" s="18" t="str">
        <x:f>IF('Thresholds'!C6="higher_bad",IF(D16&gt;='Thresholds'!E6,"RED",IF(D16&gt;='Thresholds'!D6,"YELLOW","GREEN")),IF(D16&lt;='Thresholds'!E6,"RED",IF(D16&lt;='Thresholds'!D6,"YELLOW","GREEN")))</x:f>
        <x:v>GREEN</x:v>
      </x:c>
      <x:c r="H16" s="18" t="str">
        <x:v>2025年度</x:v>
      </x:c>
      <x:c r="J16" s="18" t="str">
        <x:v>RED</x:v>
      </x:c>
      <x:c r="K16" s="18" t="n">
        <x:f>COUNTIF(G8:G23,"RED")+COUNTIF(G8:G23,"SCENARIO RED")</x:f>
        <x:v>5</x:v>
      </x:c>
      <x:c r="L16" s="18" t="str">
        <x:v>任一红灯立即触发</x:v>
      </x:c>
      <x:c r="M16" s="18" t="str">
        <x:v>核心非车/保证险/新能源/利润</x:v>
      </x:c>
      <x:c r="N16" s="18" t="str">
        <x:v>立即</x:v>
      </x:c>
    </x:row>
    <x:row r="17" ht="15" hidden="0" customHeight="1">
      <x:c r="A17" s="18" t="str">
        <x:v>M10</x:v>
      </x:c>
      <x:c r="B17" s="18" t="str">
        <x:v>综合成本率</x:v>
      </x:c>
      <x:c r="C17" s="18" t="str">
        <x:v>核心非车COR</x:v>
      </x:c>
      <x:c r="D17" s="48" t="n">
        <x:v>100.824516</x:v>
      </x:c>
      <x:c r="E17" s="18" t="str">
        <x:v>%</x:v>
      </x:c>
      <x:c r="F17" s="18" t="str">
        <x:v>T03</x:v>
      </x:c>
      <x:c r="G17" s="18" t="str">
        <x:f>IF('Thresholds'!C7="higher_bad",IF(D17&gt;='Thresholds'!E7,"RED",IF(D17&gt;='Thresholds'!D7,"YELLOW","GREEN")),IF(D17&lt;='Thresholds'!E7,"RED",IF(D17&lt;='Thresholds'!D7,"YELLOW","GREEN")))</x:f>
        <x:v>RED</x:v>
      </x:c>
      <x:c r="H17" s="18" t="str">
        <x:v>意健险+其他财产险，剔除保证险</x:v>
      </x:c>
      <x:c r="J17" s="18" t="str">
        <x:v>YELLOW</x:v>
      </x:c>
      <x:c r="K17" s="18" t="n">
        <x:f>COUNTIF(G8:G23,"YELLOW")</x:f>
        <x:v>4</x:v>
      </x:c>
      <x:c r="L17" s="18" t="str">
        <x:v>连续两期或同期两个关联黄灯</x:v>
      </x:c>
      <x:c r="M17" s="18" t="str">
        <x:v>车险量价与赔付</x:v>
      </x:c>
      <x:c r="N17" s="18" t="str">
        <x:v>本月复盘</x:v>
      </x:c>
    </x:row>
    <x:row r="18" ht="15" hidden="0" customHeight="1">
      <x:c r="A18" s="18" t="str">
        <x:v>M11</x:v>
      </x:c>
      <x:c r="B18" s="18" t="str">
        <x:v>综合成本率</x:v>
      </x:c>
      <x:c r="C18" s="18" t="str">
        <x:v>责任险COR</x:v>
      </x:c>
      <x:c r="D18" s="48" t="n">
        <x:v>106.8</x:v>
      </x:c>
      <x:c r="E18" s="18" t="str">
        <x:v>%</x:v>
      </x:c>
      <x:c r="F18" s="18" t="str">
        <x:v>T04</x:v>
      </x:c>
      <x:c r="G18" s="18" t="str">
        <x:f>IF('Thresholds'!C8="higher_bad",IF(D18&gt;='Thresholds'!E8,"RED",IF(D18&gt;='Thresholds'!D8,"YELLOW","GREEN")),IF(D18&lt;='Thresholds'!E8,"RED",IF(D18&lt;='Thresholds'!D8,"YELLOW","GREEN")))</x:f>
        <x:v>RED</x:v>
      </x:c>
      <x:c r="H18" s="18" t="str">
        <x:v>2025年度</x:v>
      </x:c>
      <x:c r="J18" s="18" t="str">
        <x:v>GREEN</x:v>
      </x:c>
      <x:c r="K18" s="18" t="n">
        <x:f>COUNTIF(G8:G23,"GREEN")</x:f>
        <x:v>7</x:v>
      </x:c>
      <x:c r="L18" s="18" t="str">
        <x:v>保持监控</x:v>
      </x:c>
      <x:c r="M18" s="18" t="str">
        <x:v>—</x:v>
      </x:c>
      <x:c r="N18" s="18" t="str">
        <x:v>按周期</x:v>
      </x:c>
    </x:row>
    <x:row r="19" ht="15" hidden="0" customHeight="1">
      <x:c r="A19" s="18" t="str">
        <x:v>M12</x:v>
      </x:c>
      <x:c r="B19" s="18" t="str">
        <x:v>综合成本率</x:v>
      </x:c>
      <x:c r="C19" s="18" t="str">
        <x:v>2025 COR对同业均值差</x:v>
      </x:c>
      <x:c r="D19" s="48" t="n">
        <x:v>-0.7</x:v>
      </x:c>
      <x:c r="E19" s="18" t="str">
        <x:v>pp</x:v>
      </x:c>
      <x:c r="F19" s="18" t="str">
        <x:v>T06</x:v>
      </x:c>
      <x:c r="G19" s="18" t="str">
        <x:f>IF('Thresholds'!C10="higher_bad",IF(D19&gt;='Thresholds'!E10,"RED",IF(D19&gt;='Thresholds'!D10,"YELLOW","GREEN")),IF(D19&lt;='Thresholds'!E10,"RED",IF(D19&lt;='Thresholds'!D10,"YELLOW","GREEN")))</x:f>
        <x:v>GREEN</x:v>
      </x:c>
      <x:c r="H19" s="18" t="str">
        <x:v>平安减同业均值，负数表示更低</x:v>
      </x:c>
    </x:row>
    <x:row r="20" ht="15" hidden="0" customHeight="1">
      <x:c r="A20" s="18" t="str">
        <x:v>M13</x:v>
      </x:c>
      <x:c r="B20" s="18" t="str">
        <x:v>承保利润</x:v>
      </x:c>
      <x:c r="C20" s="18" t="str">
        <x:v>保证险占整体改善贡献</x:v>
      </x:c>
      <x:c r="D20" s="48" t="n">
        <x:v>73.129</x:v>
      </x:c>
      <x:c r="E20" s="18" t="str">
        <x:v>%</x:v>
      </x:c>
      <x:c r="F20" s="18" t="str">
        <x:v>T11</x:v>
      </x:c>
      <x:c r="G20" s="18" t="str">
        <x:f>IF('Thresholds'!C15="higher_bad",IF(D20&gt;='Thresholds'!E15,"RED",IF(D20&gt;='Thresholds'!D15,"YELLOW","GREEN")),IF(D20&lt;='Thresholds'!E15,"RED",IF(D20&lt;='Thresholds'!D15,"YELLOW","GREEN")))</x:f>
        <x:v>RED</x:v>
      </x:c>
      <x:c r="H20" s="18" t="str">
        <x:v>2023→2025阶段性贡献</x:v>
      </x:c>
    </x:row>
    <x:row r="21" ht="15" hidden="0" customHeight="1">
      <x:c r="A21" s="18" t="str">
        <x:v>M14</x:v>
      </x:c>
      <x:c r="B21" s="18" t="str">
        <x:v>承保利润</x:v>
      </x:c>
      <x:c r="C21" s="18" t="str">
        <x:v>新能源年度结构拖累上限</x:v>
      </x:c>
      <x:c r="D21" s="48" t="n">
        <x:v>0.3195</x:v>
      </x:c>
      <x:c r="E21" s="18" t="str">
        <x:v>pp</x:v>
      </x:c>
      <x:c r="F21" s="18" t="str">
        <x:v>T12</x:v>
      </x:c>
      <x:c r="G21" s="18" t="str">
        <x:f>IF(D21&gt;='Thresholds'!E16,"SCENARIO RED",IF(D21&gt;='Thresholds'!D16,"YELLOW","GREEN"))</x:f>
        <x:v>SCENARIO RED</x:v>
      </x:c>
      <x:c r="H21" s="18" t="str">
        <x:v>敏感性上限，不是实测</x:v>
      </x:c>
      <x:c r="J21" s="11" t="str">
        <x:v>为什么这样判断</x:v>
      </x:c>
      <x:c r="K21" s="11"/>
      <x:c r="L21" s="11"/>
      <x:c r="M21" s="11"/>
      <x:c r="N21" s="11"/>
    </x:row>
    <x:row r="22" ht="34" hidden="0" customHeight="1">
      <x:c r="A22" s="18" t="str">
        <x:v>M15</x:v>
      </x:c>
      <x:c r="B22" s="18" t="str">
        <x:v>投资与净利润</x:v>
      </x:c>
      <x:c r="C22" s="18" t="str">
        <x:v>总投资收益同比</x:v>
      </x:c>
      <x:c r="D22" s="48" t="n">
        <x:v>-26.03410852713178</x:v>
      </x:c>
      <x:c r="E22" s="18" t="str">
        <x:v>%</x:v>
      </x:c>
      <x:c r="F22" s="18" t="str">
        <x:v>T13</x:v>
      </x:c>
      <x:c r="G22" s="18" t="str">
        <x:f>IF('Thresholds'!C17="higher_bad",IF(D22&gt;='Thresholds'!E17,"RED",IF(D22&gt;='Thresholds'!D17,"YELLOW","GREEN")),IF(D22&lt;='Thresholds'!E17,"RED",IF(D22&lt;='Thresholds'!D17,"YELLOW","GREEN")))</x:f>
        <x:v>RED</x:v>
      </x:c>
      <x:c r="H22" s="18" t="str">
        <x:v>2025年度</x:v>
      </x:c>
      <x:c r="J22" s="82" t="str">
        <x:v>100%先作为承保盈亏线。整体和核心非车跨线就行动，不等同业也变差。</x:v>
      </x:c>
      <x:c r="K22" s="82"/>
      <x:c r="L22" s="82"/>
      <x:c r="M22" s="82"/>
      <x:c r="N22" s="82"/>
    </x:row>
    <x:row r="23" ht="34" hidden="0" customHeight="1">
      <x:c r="A23" s="18" t="str">
        <x:v>M16</x:v>
      </x:c>
      <x:c r="B23" s="18" t="str">
        <x:v>投资与净利润</x:v>
      </x:c>
      <x:c r="C23" s="18" t="str">
        <x:v>净利润同比</x:v>
      </x:c>
      <x:c r="D23" s="48" t="n">
        <x:v>-17.250396161598893</x:v>
      </x:c>
      <x:c r="E23" s="18" t="str">
        <x:v>%</x:v>
      </x:c>
      <x:c r="F23" s="18" t="str">
        <x:v>T10</x:v>
      </x:c>
      <x:c r="G23" s="18" t="str">
        <x:f>IF('Thresholds'!C14="higher_bad",IF(D23&gt;='Thresholds'!E14,"RED",IF(D23&gt;='Thresholds'!D14,"YELLOW","GREEN")),IF(D23&lt;='Thresholds'!E14,"RED",IF(D23&lt;='Thresholds'!D14,"YELLOW","GREEN")))</x:f>
        <x:v>YELLOW</x:v>
      </x:c>
      <x:c r="H23" s="18" t="str">
        <x:v>2026Q1季度累计</x:v>
      </x:c>
      <x:c r="J23" s="82" t="str">
        <x:v>车险红线放在99%，因为主体业务要给责任险等波动业务留缓冲。</x:v>
      </x:c>
      <x:c r="K23" s="82"/>
      <x:c r="L23" s="82"/>
      <x:c r="M23" s="82"/>
      <x:c r="N23" s="82"/>
    </x:row>
    <x:row r="24" ht="34" hidden="0" customHeight="1">
      <x:c r="J24" s="82" t="str">
        <x:v>0.5pp和1.0pp是趋势预警，不把单期小波动直接当成结构问题。</x:v>
      </x:c>
      <x:c r="K24" s="82"/>
      <x:c r="L24" s="82"/>
      <x:c r="M24" s="82"/>
      <x:c r="N24" s="82"/>
    </x:row>
    <x:row r="25" ht="34" hidden="0" customHeight="1">
      <x:c r="J25" s="82" t="str">
        <x:v>同业差只校正共同环境。业务结构不同，不能把同业均值当公司目标。</x:v>
      </x:c>
      <x:c r="K25" s="82"/>
      <x:c r="L25" s="82"/>
      <x:c r="M25" s="82"/>
      <x:c r="N25" s="82"/>
    </x:row>
    <x:row r="26" ht="34" hidden="0" customHeight="1">
      <x:c r="J26" s="82" t="str">
        <x:v>保证险和新能源使用专题阈值，分别控制一次性依赖与结构性逆风。</x:v>
      </x:c>
      <x:c r="K26" s="82"/>
      <x:c r="L26" s="82"/>
      <x:c r="M26" s="82"/>
      <x:c r="N26" s="82"/>
    </x:row>
  </x:sheetData>
  <x:mergeCells>
    <x:mergeCell ref="A1:N1"/>
    <x:mergeCell ref="A2:N2"/>
    <x:mergeCell ref="A4:N4"/>
    <x:mergeCell ref="J21:N21"/>
    <x:mergeCell ref="J22:N22"/>
    <x:mergeCell ref="J23:N23"/>
    <x:mergeCell ref="J24:N24"/>
    <x:mergeCell ref="J25:N25"/>
    <x:mergeCell ref="J26:N26"/>
  </x:mergeCells>
  <x:conditionalFormatting sqref="G8:G23">
    <x:cfRule type="containsText" dxfId="3" priority="1" operator="containsText" text="GREEN"/>
    <x:cfRule type="containsText" dxfId="4" priority="2" operator="containsText" text="YELLOW"/>
    <x:cfRule type="containsText" dxfId="5" priority="3" operator="containsText" text="RED"/>
  </x:conditionalFormatting>
  <x:conditionalFormatting sqref="N8:N12">
    <x:cfRule type="containsText" dxfId="6" priority="4" operator="containsText" text="GREEN"/>
    <x:cfRule type="containsText" dxfId="7" priority="5" operator="containsText" text="YELLOW"/>
    <x:cfRule type="containsText" dxfId="8" priority="6" operator="containsText" text="RED"/>
  </x:conditionalFormatting>
  <x:conditionalFormatting sqref="J16:J18">
    <x:cfRule type="containsText" dxfId="9" priority="7" operator="containsText" text="GREEN"/>
    <x:cfRule type="containsText" dxfId="10" priority="8" operator="containsText" text="YELLOW"/>
    <x:cfRule type="containsText" dxfId="11" priority="9" operator="containsText" text="RED"/>
  </x:conditionalFormatting>
  <x:pageMargins left="0.7" right="0.7" top="0.75" bottom="0.75" header="0.3" footer="0.3"/>
  <x:legacyDrawing xmlns:r="http://schemas.openxmlformats.org/officeDocument/2006/relationships" r:id="R7f7d2ba96a61444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8" hidden="0" customWidth="1"/>
    <x:col min="4" max="4" width="28" hidden="0" customWidth="1"/>
    <x:col min="5" max="5" width="44" hidden="0" customWidth="1"/>
    <x:col min="6" max="6" width="15" hidden="0" customWidth="1"/>
    <x:col min="7" max="7" width="36" hidden="0" customWidth="1"/>
  </x:cols>
  <x:sheetData>
    <x:row r="1" ht="21.600000381469727" hidden="0" customHeight="1">
      <x:c r="A1" s="3" t="str">
        <x:v>常态指标分层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保费增长→综合成本率→承保利润→加投资收益；每层向下拆一级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5" t="str">
        <x:v>层级</x:v>
      </x:c>
      <x:c r="B4" s="15" t="str">
        <x:v>主层</x:v>
      </x:c>
      <x:c r="C4" s="15" t="str">
        <x:v>一级指标</x:v>
      </x:c>
      <x:c r="D4" s="15" t="str">
        <x:v>下钻指标</x:v>
      </x:c>
      <x:c r="E4" s="15" t="str">
        <x:v>公式/口径</x:v>
      </x:c>
      <x:c r="F4" s="15" t="str">
        <x:v>更新频率</x:v>
      </x:c>
      <x:c r="G4" s="15" t="str">
        <x:v>经营问题</x:v>
      </x:c>
    </x:row>
    <x:row r="5" ht="15" hidden="0" customHeight="1">
      <x:c r="A5" s="18" t="str">
        <x:v>L1</x:v>
      </x:c>
      <x:c r="B5" s="18" t="str">
        <x:v>保费增长</x:v>
      </x:c>
      <x:c r="C5" s="18" t="str">
        <x:v>签单保费/保险服务收入增速</x:v>
      </x:c>
      <x:c r="D5" s="18" t="str">
        <x:v>行业增速差、车险/非车险增速</x:v>
      </x:c>
      <x:c r="E5" s="18" t="str">
        <x:v>同比变化；同口径同周期</x:v>
      </x:c>
      <x:c r="F5" s="18" t="str">
        <x:v>月/季</x:v>
      </x:c>
      <x:c r="G5" s="18" t="str">
        <x:v>判断规模是否来自健康扩张</x:v>
      </x:c>
    </x:row>
    <x:row r="6" ht="15" hidden="0" customHeight="1">
      <x:c r="A6" s="18" t="str">
        <x:v>L1.1</x:v>
      </x:c>
      <x:c r="B6" s="18" t="str">
        <x:v>保费增长</x:v>
      </x:c>
      <x:c r="C6" s="18" t="str">
        <x:v>量价拆分</x:v>
      </x:c>
      <x:c r="D6" s="18" t="str">
        <x:v>隐含车辆数、车均保费</x:v>
      </x:c>
      <x:c r="E6" s="18" t="str">
        <x:v>车险签单保费=隐含车辆数×车均保费</x:v>
      </x:c>
      <x:c r="F6" s="18" t="str">
        <x:v>季</x:v>
      </x:c>
      <x:c r="G6" s="18" t="str">
        <x:v>区分数量增长与价格/结构变化</x:v>
      </x:c>
    </x:row>
    <x:row r="7" ht="15" hidden="0" customHeight="1">
      <x:c r="A7" s="18" t="str">
        <x:v>L1.2</x:v>
      </x:c>
      <x:c r="B7" s="18" t="str">
        <x:v>保费增长</x:v>
      </x:c>
      <x:c r="C7" s="18" t="str">
        <x:v>结构拆分</x:v>
      </x:c>
      <x:c r="D7" s="18" t="str">
        <x:v>新能源占比、保证险权重、非车险种占比</x:v>
      </x:c>
      <x:c r="E7" s="18" t="str">
        <x:v>分险种收入或保费/整体</x:v>
      </x:c>
      <x:c r="F7" s="18" t="str">
        <x:v>季/年</x:v>
      </x:c>
      <x:c r="G7" s="18" t="str">
        <x:v>识别结构效应</x:v>
      </x:c>
    </x:row>
    <x:row r="8" ht="15" hidden="0" customHeight="1">
      <x:c r="A8" s="18" t="str">
        <x:v>L2</x:v>
      </x:c>
      <x:c r="B8" s="18" t="str">
        <x:v>综合成本率</x:v>
      </x:c>
      <x:c r="C8" s="18" t="str">
        <x:v>整体COR</x:v>
      </x:c>
      <x:c r="D8" s="18" t="str">
        <x:v>赔付率、费用率</x:v>
      </x:c>
      <x:c r="E8" s="18" t="str">
        <x:v>COR=赔付率+费用率</x:v>
      </x:c>
      <x:c r="F8" s="18" t="str">
        <x:v>季/半年/年</x:v>
      </x:c>
      <x:c r="G8" s="18" t="str">
        <x:v>判断承保是否盈利</x:v>
      </x:c>
    </x:row>
    <x:row r="9" ht="15" hidden="0" customHeight="1">
      <x:c r="A9" s="18" t="str">
        <x:v>L2.1</x:v>
      </x:c>
      <x:c r="B9" s="18" t="str">
        <x:v>综合成本率</x:v>
      </x:c>
      <x:c r="C9" s="18" t="str">
        <x:v>赔付率</x:v>
      </x:c>
      <x:c r="D9" s="18" t="str">
        <x:v>频次、案均赔款</x:v>
      </x:c>
      <x:c r="E9" s="18" t="str">
        <x:v>赔付率≈出险频次×案均赔款/车均保费</x:v>
      </x:c>
      <x:c r="F9" s="18" t="str">
        <x:v>月/季</x:v>
      </x:c>
      <x:c r="G9" s="18" t="str">
        <x:v>区分频次与单价；公开数据缺底层字段</x:v>
      </x:c>
    </x:row>
    <x:row r="10" ht="15" hidden="0" customHeight="1">
      <x:c r="A10" s="18" t="str">
        <x:v>L2.2</x:v>
      </x:c>
      <x:c r="B10" s="18" t="str">
        <x:v>综合成本率</x:v>
      </x:c>
      <x:c r="C10" s="18" t="str">
        <x:v>费用率</x:v>
      </x:c>
      <x:c r="D10" s="18" t="str">
        <x:v>获客/渠道费用、管理费用</x:v>
      </x:c>
      <x:c r="E10" s="18" t="str">
        <x:v>费用/保险服务收入</x:v>
      </x:c>
      <x:c r="F10" s="18" t="str">
        <x:v>月/季</x:v>
      </x:c>
      <x:c r="G10" s="18" t="str">
        <x:v>区分行业费用政策与自身效率</x:v>
      </x:c>
    </x:row>
    <x:row r="11" ht="15" hidden="0" customHeight="1">
      <x:c r="A11" s="18" t="str">
        <x:v>L2.3</x:v>
      </x:c>
      <x:c r="B11" s="18" t="str">
        <x:v>综合成本率</x:v>
      </x:c>
      <x:c r="C11" s="18" t="str">
        <x:v>分险种COR</x:v>
      </x:c>
      <x:c r="D11" s="18" t="str">
        <x:v>车险、核心非车、责任险、保证险</x:v>
      </x:c>
      <x:c r="E11" s="18" t="str">
        <x:v>各险种承保结果/保险服务收入</x:v>
      </x:c>
      <x:c r="F11" s="18" t="str">
        <x:v>月/季/年</x:v>
      </x:c>
      <x:c r="G11" s="18" t="str">
        <x:v>防止整体均值掩盖亏损单元</x:v>
      </x:c>
    </x:row>
    <x:row r="12" ht="15" hidden="0" customHeight="1">
      <x:c r="A12" s="18" t="str">
        <x:v>L3</x:v>
      </x:c>
      <x:c r="B12" s="18" t="str">
        <x:v>承保利润</x:v>
      </x:c>
      <x:c r="C12" s="18" t="str">
        <x:v>承保利润</x:v>
      </x:c>
      <x:c r="D12" s="18" t="str">
        <x:v>分险种贡献、一次性与可持续</x:v>
      </x:c>
      <x:c r="E12" s="18" t="str">
        <x:v>保险服务收入×(1-COR)</x:v>
      </x:c>
      <x:c r="F12" s="18" t="str">
        <x:v>季/年</x:v>
      </x:c>
      <x:c r="G12" s="18" t="str">
        <x:v>把比率变化落到金额</x:v>
      </x:c>
    </x:row>
    <x:row r="13" ht="15" hidden="0" customHeight="1">
      <x:c r="A13" s="18" t="str">
        <x:v>L4</x:v>
      </x:c>
      <x:c r="B13" s="18" t="str">
        <x:v>加投资收益</x:v>
      </x:c>
      <x:c r="C13" s="18" t="str">
        <x:v>总投资收益</x:v>
      </x:c>
      <x:c r="D13" s="18" t="str">
        <x:v>同比变化、与承保利润桥接</x:v>
      </x:c>
      <x:c r="E13" s="18" t="str">
        <x:v>承保利润+投资收益+其他损益-税费≈净利润</x:v>
      </x:c>
      <x:c r="F13" s="18" t="str">
        <x:v>季/年</x:v>
      </x:c>
      <x:c r="G13" s="18" t="str">
        <x:v>解释承保向好但净利润不一致</x:v>
      </x:c>
    </x:row>
    <x:row r="14" ht="15" hidden="0" customHeight="1">
      <x:c r="A14" s="18" t="str">
        <x:v>L4.1</x:v>
      </x:c>
      <x:c r="B14" s="18" t="str">
        <x:v>加投资收益</x:v>
      </x:c>
      <x:c r="C14" s="18" t="str">
        <x:v>净利润</x:v>
      </x:c>
      <x:c r="D14" s="18" t="str">
        <x:v>营运利润、偿付能力</x:v>
      </x:c>
      <x:c r="E14" s="18" t="str">
        <x:v>最终结果与资本约束</x:v>
      </x:c>
      <x:c r="F14" s="18" t="str">
        <x:v>季/年</x:v>
      </x:c>
      <x:c r="G14" s="18" t="str">
        <x:v>检验改善是否传导到最终结果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58" hidden="0" customWidth="1"/>
    <x:col min="8" max="8" width="20" hidden="0" customWidth="1"/>
  </x:cols>
  <x:sheetData>
    <x:row r="1" ht="21.600000381469727" hidden="0" customHeight="1">
      <x:c r="A1" s="3" t="str">
        <x:v>管理预警阈值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蓝字黄底为管理判断；用户已授权AI基于盈亏线、趋势与同业差做出判断，非监管标准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5" t="str">
        <x:v>阈值ID</x:v>
      </x:c>
      <x:c r="B4" s="15" t="str">
        <x:v>指标</x:v>
      </x:c>
      <x:c r="C4" s="15" t="str">
        <x:v>风险方向</x:v>
      </x:c>
      <x:c r="D4" s="15" t="str">
        <x:v>黄线</x:v>
      </x:c>
      <x:c r="E4" s="15" t="str">
        <x:v>红线</x:v>
      </x:c>
      <x:c r="F4" s="15" t="str">
        <x:v>单位</x:v>
      </x:c>
      <x:c r="G4" s="15" t="str">
        <x:v>判断理由</x:v>
      </x:c>
      <x:c r="H4" s="15" t="str">
        <x:v>假设状态</x:v>
      </x:c>
    </x:row>
    <x:row r="5" ht="15" hidden="0" customHeight="1">
      <x:c r="A5" s="18" t="str">
        <x:v>T01</x:v>
      </x:c>
      <x:c r="B5" s="18" t="str">
        <x:v>整体COR</x:v>
      </x:c>
      <x:c r="C5" s="18" t="str">
        <x:v>higher_bad</x:v>
      </x:c>
      <x:c r="D5" s="19" t="n">
        <x:v>98</x:v>
      </x:c>
      <x:c r="E5" s="19" t="n">
        <x:v>100</x:v>
      </x:c>
      <x:c r="F5" s="18" t="str">
        <x:v>%</x:v>
      </x:c>
      <x:c r="G5" s="18" t="str">
        <x:v>100%是承保盈亏线；98%保留2pp缓冲，便于在滑向亏损前动作</x:v>
      </x:c>
      <x:c r="H5" s="18" t="str">
        <x:v>用户授权AI判断</x:v>
      </x:c>
    </x:row>
    <x:row r="6" ht="15" hidden="0" customHeight="1">
      <x:c r="A6" s="18" t="str">
        <x:v>T02</x:v>
      </x:c>
      <x:c r="B6" s="18" t="str">
        <x:v>车险COR</x:v>
      </x:c>
      <x:c r="C6" s="18" t="str">
        <x:v>higher_bad</x:v>
      </x:c>
      <x:c r="D6" s="19" t="n">
        <x:v>97</x:v>
      </x:c>
      <x:c r="E6" s="19" t="n">
        <x:v>99</x:v>
      </x:c>
      <x:c r="F6" s="18" t="str">
        <x:v>%</x:v>
      </x:c>
      <x:c r="G6" s="18" t="str">
        <x:v>车险是主体业务，需要给波动更大的非车业务留出承保缓冲</x:v>
      </x:c>
      <x:c r="H6" s="18" t="str">
        <x:v>用户授权AI判断</x:v>
      </x:c>
    </x:row>
    <x:row r="7" ht="15" hidden="0" customHeight="1">
      <x:c r="A7" s="18" t="str">
        <x:v>T03</x:v>
      </x:c>
      <x:c r="B7" s="18" t="str">
        <x:v>核心非车COR</x:v>
      </x:c>
      <x:c r="C7" s="18" t="str">
        <x:v>higher_bad</x:v>
      </x:c>
      <x:c r="D7" s="19" t="n">
        <x:v>99</x:v>
      </x:c>
      <x:c r="E7" s="19" t="n">
        <x:v>100</x:v>
      </x:c>
      <x:c r="F7" s="18" t="str">
        <x:v>%</x:v>
      </x:c>
      <x:c r="G7" s="18" t="str">
        <x:v>非车跨过100%即承保亏损，99%作为提前一格的黄线</x:v>
      </x:c>
      <x:c r="H7" s="18" t="str">
        <x:v>用户授权AI判断</x:v>
      </x:c>
    </x:row>
    <x:row r="8" ht="15" hidden="0" customHeight="1">
      <x:c r="A8" s="18" t="str">
        <x:v>T04</x:v>
      </x:c>
      <x:c r="B8" s="18" t="str">
        <x:v>责任险COR</x:v>
      </x:c>
      <x:c r="C8" s="18" t="str">
        <x:v>higher_bad</x:v>
      </x:c>
      <x:c r="D8" s="19" t="n">
        <x:v>103</x:v>
      </x:c>
      <x:c r="E8" s="19" t="n">
        <x:v>105</x:v>
      </x:c>
      <x:c r="F8" s="18" t="str">
        <x:v>%</x:v>
      </x:c>
      <x:c r="G8" s="18" t="str">
        <x:v>2024为102.7%，2025为106.8%；103%提示持续亏损，105%要求立即处置</x:v>
      </x:c>
      <x:c r="H8" s="18" t="str">
        <x:v>用户授权AI判断</x:v>
      </x:c>
    </x:row>
    <x:row r="9" ht="15" hidden="0" customHeight="1">
      <x:c r="A9" s="18" t="str">
        <x:v>T05</x:v>
      </x:c>
      <x:c r="B9" s="18" t="str">
        <x:v>赔付率或费用率同比恶化</x:v>
      </x:c>
      <x:c r="C9" s="18" t="str">
        <x:v>higher_bad</x:v>
      </x:c>
      <x:c r="D9" s="19" t="n">
        <x:v>0.5</x:v>
      </x:c>
      <x:c r="E9" s="19" t="n">
        <x:v>1</x:v>
      </x:c>
      <x:c r="F9" s="18" t="str">
        <x:v>pp</x:v>
      </x:c>
      <x:c r="G9" s="18" t="str">
        <x:v>0.5pp足以改变利润，1.0pp不应等待下一次年报再处理</x:v>
      </x:c>
      <x:c r="H9" s="18" t="str">
        <x:v>用户授权AI判断</x:v>
      </x:c>
    </x:row>
    <x:row r="10" ht="15" hidden="0" customHeight="1">
      <x:c r="A10" s="18" t="str">
        <x:v>T06</x:v>
      </x:c>
      <x:c r="B10" s="18" t="str">
        <x:v>COR落后同业均值</x:v>
      </x:c>
      <x:c r="C10" s="18" t="str">
        <x:v>higher_bad</x:v>
      </x:c>
      <x:c r="D10" s="19" t="n">
        <x:v>0.5</x:v>
      </x:c>
      <x:c r="E10" s="19" t="n">
        <x:v>1</x:v>
      </x:c>
      <x:c r="F10" s="18" t="str">
        <x:v>pp</x:v>
      </x:c>
      <x:c r="G10" s="18" t="str">
        <x:v>同业只校正共同环境，不替代公司绝对盈亏线</x:v>
      </x:c>
      <x:c r="H10" s="18" t="str">
        <x:v>用户授权AI判断</x:v>
      </x:c>
    </x:row>
    <x:row r="11" ht="15" hidden="0" customHeight="1">
      <x:c r="A11" s="18" t="str">
        <x:v>T07</x:v>
      </x:c>
      <x:c r="B11" s="18" t="str">
        <x:v>保费增速对行业差</x:v>
      </x:c>
      <x:c r="C11" s="18" t="str">
        <x:v>lower_bad</x:v>
      </x:c>
      <x:c r="D11" s="19" t="n">
        <x:v>-2</x:v>
      </x:c>
      <x:c r="E11" s="19" t="n">
        <x:v>-5</x:v>
      </x:c>
      <x:c r="F11" s="18" t="str">
        <x:v>pp</x:v>
      </x:c>
      <x:c r="G11" s="18" t="str">
        <x:v>落后2pp要求解释结构，落后5pp需要检查价格、渠道和风险筛选</x:v>
      </x:c>
      <x:c r="H11" s="18" t="str">
        <x:v>用户授权AI判断</x:v>
      </x:c>
    </x:row>
    <x:row r="12" ht="15" hidden="0" customHeight="1">
      <x:c r="A12" s="18" t="str">
        <x:v>T08</x:v>
      </x:c>
      <x:c r="B12" s="18" t="str">
        <x:v>车险签单保费同比</x:v>
      </x:c>
      <x:c r="C12" s="18" t="str">
        <x:v>lower_bad</x:v>
      </x:c>
      <x:c r="D12" s="19" t="n">
        <x:v>0</x:v>
      </x:c>
      <x:c r="E12" s="19" t="n">
        <x:v>-5</x:v>
      </x:c>
      <x:c r="F12" s="18" t="str">
        <x:v>%</x:v>
      </x:c>
      <x:c r="G12" s="18" t="str">
        <x:v>负增长先拆数量与车均保费；跌幅达到5%进入组合处置</x:v>
      </x:c>
      <x:c r="H12" s="18" t="str">
        <x:v>用户授权AI判断</x:v>
      </x:c>
    </x:row>
    <x:row r="13" ht="15" hidden="0" customHeight="1">
      <x:c r="A13" s="18" t="str">
        <x:v>T09</x:v>
      </x:c>
      <x:c r="B13" s="18" t="str">
        <x:v>车均保费同比</x:v>
      </x:c>
      <x:c r="C13" s="18" t="str">
        <x:v>lower_bad</x:v>
      </x:c>
      <x:c r="D13" s="19" t="n">
        <x:v>-2</x:v>
      </x:c>
      <x:c r="E13" s="19" t="n">
        <x:v>-5</x:v>
      </x:c>
      <x:c r="F13" s="18" t="str">
        <x:v>%</x:v>
      </x:c>
      <x:c r="G13" s="18" t="str">
        <x:v>2%可提示价格或车型结构下移，5%需要检查定价充足性</x:v>
      </x:c>
      <x:c r="H13" s="18" t="str">
        <x:v>用户授权AI判断</x:v>
      </x:c>
    </x:row>
    <x:row r="14" ht="15" hidden="0" customHeight="1">
      <x:c r="A14" s="18" t="str">
        <x:v>T10</x:v>
      </x:c>
      <x:c r="B14" s="18" t="str">
        <x:v>净利润同比</x:v>
      </x:c>
      <x:c r="C14" s="18" t="str">
        <x:v>lower_bad</x:v>
      </x:c>
      <x:c r="D14" s="19" t="n">
        <x:v>-10</x:v>
      </x:c>
      <x:c r="E14" s="19" t="n">
        <x:v>-20</x:v>
      </x:c>
      <x:c r="F14" s="18" t="str">
        <x:v>%</x:v>
      </x:c>
      <x:c r="G14" s="18" t="str">
        <x:v>承保向好但净利润下降时，必须展开投资收益和其他损益桥接</x:v>
      </x:c>
      <x:c r="H14" s="18" t="str">
        <x:v>用户授权AI判断</x:v>
      </x:c>
    </x:row>
    <x:row r="15" ht="15" hidden="0" customHeight="1">
      <x:c r="A15" s="18" t="str">
        <x:v>T11</x:v>
      </x:c>
      <x:c r="B15" s="18" t="str">
        <x:v>保证险占整体改善贡献</x:v>
      </x:c>
      <x:c r="C15" s="18" t="str">
        <x:v>higher_bad</x:v>
      </x:c>
      <x:c r="D15" s="19" t="n">
        <x:v>30</x:v>
      </x:c>
      <x:c r="E15" s="19" t="n">
        <x:v>50</x:v>
      </x:c>
      <x:c r="F15" s="18" t="str">
        <x:v>%</x:v>
      </x:c>
      <x:c r="G15" s="18" t="str">
        <x:v>单一阶段性项目解释超过三成需单列，超过一半不得当作普遍能力</x:v>
      </x:c>
      <x:c r="H15" s="18" t="str">
        <x:v>用户授权AI判断</x:v>
      </x:c>
    </x:row>
    <x:row r="16" ht="15" hidden="0" customHeight="1">
      <x:c r="A16" s="18" t="str">
        <x:v>T12</x:v>
      </x:c>
      <x:c r="B16" s="18" t="str">
        <x:v>新能源年度结构拖累上限</x:v>
      </x:c>
      <x:c r="C16" s="18" t="str">
        <x:v>higher_bad</x:v>
      </x:c>
      <x:c r="D16" s="19" t="n">
        <x:v>0.15</x:v>
      </x:c>
      <x:c r="E16" s="19" t="n">
        <x:v>0.3</x:v>
      </x:c>
      <x:c r="F16" s="18" t="str">
        <x:v>pp</x:v>
      </x:c>
      <x:c r="G16" s="18" t="str">
        <x:v>0.30pp已足以吞掉2024→2025相对同业的0.30pp超额改善</x:v>
      </x:c>
      <x:c r="H16" s="18" t="str">
        <x:v>用户授权AI判断</x:v>
      </x:c>
    </x:row>
    <x:row r="17" ht="15" hidden="0" customHeight="1">
      <x:c r="A17" s="18" t="str">
        <x:v>T13</x:v>
      </x:c>
      <x:c r="B17" s="18" t="str">
        <x:v>总投资收益同比</x:v>
      </x:c>
      <x:c r="C17" s="18" t="str">
        <x:v>lower_bad</x:v>
      </x:c>
      <x:c r="D17" s="19" t="n">
        <x:v>-10</x:v>
      </x:c>
      <x:c r="E17" s="19" t="n">
        <x:v>-20</x:v>
      </x:c>
      <x:c r="F17" s="18" t="str">
        <x:v>%</x:v>
      </x:c>
      <x:c r="G17" s="18" t="str">
        <x:v>投资层会改变承保利润到净利润的传导，下降20%必须单列解释</x:v>
      </x:c>
      <x:c r="H17" s="18" t="str">
        <x:v>用户授权AI判断</x:v>
      </x:c>
    </x:row>
    <x:row r="18"/>
    <x:row r="19"/>
    <x:row r="20" ht="58" hidden="0" customHeight="1">
      <x:c r="A20" s="23" t="str">
        <x:v>【假设：采用表内黄线、红线及任一红灯/连续两期黄灯/同期两个关联黄灯的专题触发规则｜依据：100%承保盈亏线、2023–2025可比历史、2026Q1最新经营数据和人保/太保同业差｜影响：直接决定Dashboard状态、专题触发和90天动作优先级｜用户已于2026-08-16授权AI判断】</x:v>
      </x:c>
      <x:c r="B20" s="24"/>
      <x:c r="C20" s="24"/>
      <x:c r="D20" s="24"/>
      <x:c r="E20" s="24"/>
      <x:c r="F20" s="24"/>
      <x:c r="G20" s="24"/>
      <x:c r="H20" s="25"/>
    </x:row>
  </x:sheetData>
  <x:mergeCells>
    <x:mergeCell ref="A1:H1"/>
    <x:mergeCell ref="A2:H2"/>
    <x:mergeCell ref="A20:H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34" hidden="0" customWidth="1"/>
    <x:col min="7" max="7" width="62" hidden="0" customWidth="1"/>
    <x:col min="8" max="8" width="62" hidden="0" customWidth="1"/>
  </x:cols>
  <x:sheetData>
    <x:row r="1" ht="21.600000381469727" hidden="0" customHeight="1">
      <x:c r="A1" s="3" t="str">
        <x:v>季度经营数据与量价拆分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2025Q1与2026Q1同季度累计比较；金额单位人民币百万元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5" t="str">
        <x:v>指标</x:v>
      </x:c>
      <x:c r="B4" s="15" t="str">
        <x:v>2025Q1</x:v>
      </x:c>
      <x:c r="C4" s="15" t="str">
        <x:v>2026Q1</x:v>
      </x:c>
      <x:c r="D4" s="15" t="str">
        <x:v>同比/变化</x:v>
      </x:c>
      <x:c r="E4" s="15" t="str">
        <x:v>单位</x:v>
      </x:c>
      <x:c r="F4" s="15" t="str">
        <x:v>计算口径</x:v>
      </x:c>
      <x:c r="G4" s="15" t="str">
        <x:v>2025来源</x:v>
      </x:c>
      <x:c r="H4" s="15" t="str">
        <x:v>2026来源</x:v>
      </x:c>
    </x:row>
    <x:row r="5" ht="15" hidden="0" customHeight="1">
      <x:c r="A5" s="18" t="str">
        <x:v>签单保费</x:v>
      </x:c>
      <x:c r="B5" s="38" t="n">
        <x:v>89313.338367</x:v>
      </x:c>
      <x:c r="C5" s="38" t="n">
        <x:v>95423.37014</x:v>
      </x:c>
      <x:c r="D5" s="39" t="n">
        <x:f>C5/B5-1</x:f>
        <x:v>0.06841119013929453</x:v>
      </x:c>
      <x:c r="E5" s="18" t="str">
        <x:v>人民币百万元</x:v>
      </x:c>
      <x:c r="F5" s="18" t="str">
        <x:v>同比=(本期/上期)-1</x:v>
      </x:c>
      <x:c r="G5" s="18" t="str">
        <x:v>平安产险_偿付能力报告_2025Q1.pdf，PDF第18页，主要经营指标表</x:v>
      </x:c>
      <x:c r="H5" s="18" t="str">
        <x:v>平安产险_偿付能力报告_2026Q1.pdf，PDF第18页，主要经营指标表</x:v>
      </x:c>
    </x:row>
    <x:row r="6" ht="15" hidden="0" customHeight="1">
      <x:c r="A6" s="18" t="str">
        <x:v>车险签单保费</x:v>
      </x:c>
      <x:c r="B6" s="38" t="n">
        <x:v>56950.864116</x:v>
      </x:c>
      <x:c r="C6" s="38" t="n">
        <x:v>56664.100758</x:v>
      </x:c>
      <x:c r="D6" s="39" t="n">
        <x:f>C6/B6-1</x:f>
        <x:v>-0.005035276680190548</x:v>
      </x:c>
      <x:c r="E6" s="18" t="str">
        <x:v>人民币百万元</x:v>
      </x:c>
      <x:c r="F6" s="18" t="str">
        <x:v>同比=(本期/上期)-1</x:v>
      </x:c>
      <x:c r="G6" s="18" t="str">
        <x:v>平安产险_偿付能力报告_2025Q1.pdf，PDF第18页，主要经营指标表</x:v>
      </x:c>
      <x:c r="H6" s="18" t="str">
        <x:v>平安产险_偿付能力报告_2026Q1.pdf，PDF第18页，主要经营指标表</x:v>
      </x:c>
    </x:row>
    <x:row r="7" ht="15" hidden="0" customHeight="1">
      <x:c r="A7" s="18" t="str">
        <x:v>车均保费</x:v>
      </x:c>
      <x:c r="B7" s="40" t="n">
        <x:v>2817</x:v>
      </x:c>
      <x:c r="C7" s="40" t="n">
        <x:v>2757</x:v>
      </x:c>
      <x:c r="D7" s="39" t="n">
        <x:f>C7/B7-1</x:f>
        <x:v>-0.021299254526091604</x:v>
      </x:c>
      <x:c r="E7" s="18" t="str">
        <x:v>元/车</x:v>
      </x:c>
      <x:c r="F7" s="18" t="str">
        <x:v>同比=(本期/上期)-1</x:v>
      </x:c>
      <x:c r="G7" s="18" t="str">
        <x:v>平安产险_偿付能力报告_2025Q1.pdf，PDF第18页，主要经营指标表</x:v>
      </x:c>
      <x:c r="H7" s="18" t="str">
        <x:v>平安产险_偿付能力报告_2026Q1.pdf，PDF第18页，主要经营指标表</x:v>
      </x:c>
    </x:row>
    <x:row r="8" ht="15" hidden="0" customHeight="1">
      <x:c r="A8" s="18" t="str">
        <x:v>隐含承保车辆数</x:v>
      </x:c>
      <x:c r="B8" s="40" t="n">
        <x:v>20216849.171459</x:v>
      </x:c>
      <x:c r="C8" s="40" t="n">
        <x:v>20552811.301414583</x:v>
      </x:c>
      <x:c r="D8" s="39" t="n">
        <x:f>C8/B8-1</x:f>
        <x:v>0.01661792730935918</x:v>
      </x:c>
      <x:c r="E8" s="18" t="str">
        <x:v>辆</x:v>
      </x:c>
      <x:c r="F8" s="18" t="str">
        <x:v>车险签单保费×1,000,000/车均保费</x:v>
      </x:c>
      <x:c r="G8" s="18" t="str">
        <x:v>平安产险_偿付能力报告_2025Q1.pdf，PDF第18页，主要经营指标表</x:v>
      </x:c>
      <x:c r="H8" s="18" t="str">
        <x:v>平安产险_偿付能力报告_2026Q1.pdf，PDF第18页，主要经营指标表</x:v>
      </x:c>
    </x:row>
    <x:row r="9" ht="15" hidden="0" customHeight="1">
      <x:c r="A9" s="18" t="str">
        <x:v>综合成本率</x:v>
      </x:c>
      <x:c r="B9" s="41" t="n">
        <x:v>0.956</x:v>
      </x:c>
      <x:c r="C9" s="41" t="n">
        <x:v>0.9490000000000001</x:v>
      </x:c>
      <x:c r="D9" s="42" t="n">
        <x:f>(C9-B9)*100</x:f>
        <x:v>-0.6999999999999895</x:v>
      </x:c>
      <x:c r="E9" s="18" t="str">
        <x:v>%</x:v>
      </x:c>
      <x:c r="F9" s="18" t="str">
        <x:v>本期-上期</x:v>
      </x:c>
      <x:c r="G9" s="18" t="str">
        <x:v>平安产险_偿付能力报告_2025Q1.pdf，PDF第18页，主要经营指标表</x:v>
      </x:c>
      <x:c r="H9" s="18" t="str">
        <x:v>平安产险_偿付能力报告_2026Q1.pdf，PDF第18页，主要经营指标表</x:v>
      </x:c>
    </x:row>
    <x:row r="10" ht="15" hidden="0" customHeight="1">
      <x:c r="A10" s="18" t="str">
        <x:v>赔付率</x:v>
      </x:c>
      <x:c r="B10" s="41" t="n">
        <x:v>0.6829999999999999</x:v>
      </x:c>
      <x:c r="C10" s="41" t="n">
        <x:v>0.688</x:v>
      </x:c>
      <x:c r="D10" s="42" t="n">
        <x:f>(C10-B10)*100</x:f>
        <x:v>0.5000000000000004</x:v>
      </x:c>
      <x:c r="E10" s="18" t="str">
        <x:v>%</x:v>
      </x:c>
      <x:c r="F10" s="18" t="str">
        <x:v>本期-上期</x:v>
      </x:c>
      <x:c r="G10" s="18" t="str">
        <x:v>平安产险_偿付能力报告_2025Q1.pdf，PDF第18页，主要经营指标表</x:v>
      </x:c>
      <x:c r="H10" s="18" t="str">
        <x:v>平安产险_偿付能力报告_2026Q1.pdf，PDF第18页，主要经营指标表</x:v>
      </x:c>
    </x:row>
    <x:row r="11" ht="15" hidden="0" customHeight="1">
      <x:c r="A11" s="18" t="str">
        <x:v>费用率</x:v>
      </x:c>
      <x:c r="B11" s="41" t="n">
        <x:v>0.273</x:v>
      </x:c>
      <x:c r="C11" s="41" t="n">
        <x:v>0.261</x:v>
      </x:c>
      <x:c r="D11" s="42" t="n">
        <x:f>(C11-B11)*100</x:f>
        <x:v>-1.200000000000001</x:v>
      </x:c>
      <x:c r="E11" s="18" t="str">
        <x:v>%</x:v>
      </x:c>
      <x:c r="F11" s="18" t="str">
        <x:v>本期-上期</x:v>
      </x:c>
      <x:c r="G11" s="18" t="str">
        <x:v>平安产险_偿付能力报告_2025Q1.pdf，PDF第18页，主要经营指标表</x:v>
      </x:c>
      <x:c r="H11" s="18" t="str">
        <x:v>平安产险_偿付能力报告_2026Q1.pdf，PDF第18页，主要经营指标表</x:v>
      </x:c>
    </x:row>
    <x:row r="12" ht="15" hidden="0" customHeight="1">
      <x:c r="A12" s="18" t="str">
        <x:v>净利润</x:v>
      </x:c>
      <x:c r="B12" s="38" t="n">
        <x:v>3370.23453</x:v>
      </x:c>
      <x:c r="C12" s="38" t="n">
        <x:v>2788.855722</x:v>
      </x:c>
      <x:c r="D12" s="39" t="n">
        <x:f>C12/B12-1</x:f>
        <x:v>-0.1725039616159889</x:v>
      </x:c>
      <x:c r="E12" s="18" t="str">
        <x:v>人民币百万元</x:v>
      </x:c>
      <x:c r="F12" s="18" t="str">
        <x:v>同比=(本期/上期)-1</x:v>
      </x:c>
      <x:c r="G12" s="18" t="str">
        <x:v>平安产险_偿付能力报告_2025Q1.pdf，PDF第18页，主要经营指标表</x:v>
      </x:c>
      <x:c r="H12" s="18" t="str">
        <x:v>平安产险_偿付能力报告_2026Q1.pdf，PDF第18页，主要经营指标表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52583f1639a84a1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30" hidden="0" customWidth="1"/>
    <x:col min="7" max="7" width="60" hidden="0" customWidth="1"/>
    <x:col min="8" max="8" width="60" hidden="0" customWidth="1"/>
  </x:cols>
  <x:sheetData>
    <x:row r="1" ht="21.600000381469727" hidden="0" customHeight="1">
      <x:c r="A1" s="3" t="str">
        <x:v>年度结果链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2024–2025 IFRS 17可比；承保利润改善未完全传导到净利润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5" t="str">
        <x:v>指标</x:v>
      </x:c>
      <x:c r="B4" s="15" t="str">
        <x:v>2024</x:v>
      </x:c>
      <x:c r="C4" s="15" t="str">
        <x:v>2025</x:v>
      </x:c>
      <x:c r="D4" s="15" t="str">
        <x:v>同比/变化</x:v>
      </x:c>
      <x:c r="E4" s="15" t="str">
        <x:v>单位</x:v>
      </x:c>
      <x:c r="F4" s="15" t="str">
        <x:v>公式</x:v>
      </x:c>
      <x:c r="G4" s="15" t="str">
        <x:v>2024来源</x:v>
      </x:c>
      <x:c r="H4" s="15" t="str">
        <x:v>2025来源</x:v>
      </x:c>
    </x:row>
    <x:row r="5" ht="15" hidden="0" customHeight="1">
      <x:c r="A5" s="18" t="str">
        <x:v>保险服务收入</x:v>
      </x:c>
      <x:c r="B5" s="40" t="n">
        <x:v>328146</x:v>
      </x:c>
      <x:c r="C5" s="40" t="n">
        <x:v>338912</x:v>
      </x:c>
      <x:c r="D5" s="47" t="n">
        <x:f>C5/B5-1</x:f>
        <x:v>0.03280856691838396</x:v>
      </x:c>
      <x:c r="E5" s="18" t="str">
        <x:v>人民币百万元</x:v>
      </x:c>
      <x:c r="F5" s="18" t="str">
        <x:v>同比=(本期/上期)-1</x:v>
      </x:c>
      <x:c r="G5" s="18" t="str">
        <x:v>中国平安_年报_2024.pdf，PDF第46页（报告印刷页码42），经营业绩/产险业务分析表</x:v>
      </x:c>
      <x:c r="H5" s="18" t="str">
        <x:v>中国平安_年报_2025.pdf，PDF第57页（报告印刷页码53），经营业绩/产险业务分析表</x:v>
      </x:c>
    </x:row>
    <x:row r="6" ht="15" hidden="0" customHeight="1">
      <x:c r="A6" s="18" t="str">
        <x:v>综合成本率</x:v>
      </x:c>
      <x:c r="B6" s="41" t="n">
        <x:v>0.983</x:v>
      </x:c>
      <x:c r="C6" s="41" t="n">
        <x:v>0.968</x:v>
      </x:c>
      <x:c r="D6" s="48" t="n">
        <x:f>(C6-B6)*100</x:f>
        <x:v>-1.5000000000000013</x:v>
      </x:c>
      <x:c r="E6" s="18" t="str">
        <x:v>%</x:v>
      </x:c>
      <x:c r="F6" s="18" t="str">
        <x:v>本期-上期</x:v>
      </x:c>
      <x:c r="G6" s="18" t="str">
        <x:v>中国平安_年报_2024.pdf，PDF第46页（报告印刷页码42），经营业绩/产险业务分析表</x:v>
      </x:c>
      <x:c r="H6" s="18" t="str">
        <x:v>中国平安_年报_2025.pdf，PDF第57页（报告印刷页码53），经营业绩/产险业务分析表</x:v>
      </x:c>
    </x:row>
    <x:row r="7" ht="15" hidden="0" customHeight="1">
      <x:c r="A7" s="18" t="str">
        <x:v>承保利润</x:v>
      </x:c>
      <x:c r="B7" s="40" t="n">
        <x:v>5463</x:v>
      </x:c>
      <x:c r="C7" s="40" t="n">
        <x:v>10717</x:v>
      </x:c>
      <x:c r="D7" s="49" t="n">
        <x:f>C7/B7-1</x:f>
        <x:v>0.9617426322533407</x:v>
      </x:c>
      <x:c r="E7" s="18" t="str">
        <x:v>人民币百万元</x:v>
      </x:c>
      <x:c r="F7" s="18" t="str">
        <x:v>同比=(本期/上期)-1</x:v>
      </x:c>
      <x:c r="G7" s="18" t="str">
        <x:v>中国平安_年报_2024.pdf，PDF第46页（报告印刷页码42），经营业绩/产险业务分析表</x:v>
      </x:c>
      <x:c r="H7" s="18" t="str">
        <x:v>中国平安_年报_2025.pdf，PDF第57页（报告印刷页码53），经营业绩/产险业务分析表</x:v>
      </x:c>
    </x:row>
    <x:row r="8" ht="15" hidden="0" customHeight="1">
      <x:c r="A8" s="18" t="str">
        <x:v>总投资收益</x:v>
      </x:c>
      <x:c r="B8" s="40" t="n">
        <x:v>16125</x:v>
      </x:c>
      <x:c r="C8" s="40" t="n">
        <x:v>11927</x:v>
      </x:c>
      <x:c r="D8" s="49" t="n">
        <x:f>C8/B8-1</x:f>
        <x:v>-0.26034108527131783</x:v>
      </x:c>
      <x:c r="E8" s="18" t="str">
        <x:v>人民币百万元</x:v>
      </x:c>
      <x:c r="F8" s="18" t="str">
        <x:v>同比=(本期/上期)-1</x:v>
      </x:c>
      <x:c r="G8" s="18" t="str">
        <x:v>中国平安_年报_2024.pdf，PDF第46页（报告印刷页码42），经营业绩/产险业务分析表</x:v>
      </x:c>
      <x:c r="H8" s="18" t="str">
        <x:v>中国平安_年报_2025.pdf，PDF第57页（报告印刷页码53），经营业绩/产险业务分析表</x:v>
      </x:c>
    </x:row>
    <x:row r="9" ht="15" hidden="0" customHeight="1">
      <x:c r="A9" s="18" t="str">
        <x:v>净利润</x:v>
      </x:c>
      <x:c r="B9" s="40" t="n">
        <x:v>15021</x:v>
      </x:c>
      <x:c r="C9" s="40" t="n">
        <x:v>14597</x:v>
      </x:c>
      <x:c r="D9" s="49" t="n">
        <x:f>C9/B9-1</x:f>
        <x:v>-0.0282271486585447</x:v>
      </x:c>
      <x:c r="E9" s="18" t="str">
        <x:v>人民币百万元</x:v>
      </x:c>
      <x:c r="F9" s="18" t="str">
        <x:v>同比=(本期/上期)-1</x:v>
      </x:c>
      <x:c r="G9" s="18" t="str">
        <x:v>中国平安_年报_2024.pdf，PDF第46页（报告印刷页码42），经营业绩/产险业务分析表</x:v>
      </x:c>
      <x:c r="H9" s="18" t="str">
        <x:v>中国平安_年报_2025.pdf，PDF第57页（报告印刷页码53），经营业绩/产险业务分析表</x:v>
      </x:c>
    </x:row>
    <x:row r="10"/>
    <x:row r="11"/>
    <x:row r="12" ht="48" hidden="0" customHeight="1">
      <x:c r="A12" s="53" t="str">
        <x:v>读法　承保利润同比上升，但总投资收益下降，净利润也下降。报告因此保留“承保利润→投资收益→净利润”这一层，不用COR代替最终结果。</x:v>
      </x:c>
      <x:c r="B12" s="54"/>
      <x:c r="C12" s="54"/>
      <x:c r="D12" s="54"/>
      <x:c r="E12" s="54"/>
      <x:c r="F12" s="54"/>
      <x:c r="G12" s="54"/>
      <x:c r="H12" s="55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6" hidden="0" customWidth="1"/>
    <x:col min="4" max="4" width="16" hidden="0" customWidth="1"/>
    <x:col min="5" max="5" width="38" hidden="0" customWidth="1"/>
    <x:col min="6" max="6" width="36" hidden="0" customWidth="1"/>
    <x:col min="7" max="7" width="36" hidden="0" customWidth="1"/>
    <x:col min="8" max="8" width="70" hidden="0" customWidth="1"/>
  </x:cols>
  <x:sheetData>
    <x:row r="1" ht="21.600000381469727" hidden="0" customHeight="1">
      <x:c r="A1" s="3" t="str">
        <x:v>专题触发与当前信号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任一红灯立即触发；连续两期黄灯或同期两个关联黄灯也触发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5" t="str">
        <x:v>专题</x:v>
      </x:c>
      <x:c r="B4" s="15" t="str">
        <x:v>触发条件</x:v>
      </x:c>
      <x:c r="C4" s="15" t="str">
        <x:v>当前值</x:v>
      </x:c>
      <x:c r="D4" s="15" t="str">
        <x:v>状态</x:v>
      </x:c>
      <x:c r="E4" s="15" t="str">
        <x:v>当前判断</x:v>
      </x:c>
      <x:c r="F4" s="15" t="str">
        <x:v>优先下钻</x:v>
      </x:c>
      <x:c r="G4" s="15" t="str">
        <x:v>预期输出</x:v>
      </x:c>
      <x:c r="H4" s="15" t="str">
        <x:v>来源</x:v>
      </x:c>
    </x:row>
    <x:row r="5" ht="46" hidden="0" customHeight="1">
      <x:c r="A5" s="18" t="str">
        <x:v>保证险专题</x:v>
      </x:c>
      <x:c r="B5" s="18" t="str">
        <x:v>保证险贡献&gt;50%或剔除后COR恶化</x:v>
      </x:c>
      <x:c r="C5" s="48" t="n">
        <x:v>73.129</x:v>
      </x:c>
      <x:c r="D5" s="18" t="str">
        <x:v>RED</x:v>
      </x:c>
      <x:c r="E5" s="18" t="str">
        <x:v>阶段性贡献解释了整体改善的大部分</x:v>
      </x:c>
      <x:c r="F5" s="18" t="str">
        <x:v>存量/新业务、盈利率/权重</x:v>
      </x:c>
      <x:c r="G5" s="18" t="str">
        <x:v>整体与剔除保证险双口径</x:v>
      </x:c>
      <x:c r="H5" s="18" t="str">
        <x:v>平安产险_年度信息披露报告_2023.pdf，PDF第118页，分部报告（2023年度）；平安产险_年度信息披露报告_2025.pdf，PDF第117页，分部报告（2025年度）；中国平安_年报_2025.pdf，PDF第56页（报告印刷页码52），按险种划分的经营业绩表及COR公式</x:v>
      </x:c>
    </x:row>
    <x:row r="6" ht="46" hidden="0" customHeight="1">
      <x:c r="A6" s="18" t="str">
        <x:v>新能源专题</x:v>
      </x:c>
      <x:c r="B6" s="18" t="str">
        <x:v>结构拖累上限&gt;0.30pp</x:v>
      </x:c>
      <x:c r="C6" s="58" t="n">
        <x:v>0.3195</x:v>
      </x:c>
      <x:c r="D6" s="18" t="str">
        <x:v>SCENARIO RED</x:v>
      </x:c>
      <x:c r="E6" s="18" t="str">
        <x:v>上限情景足以吞掉最新同业超额改善</x:v>
      </x:c>
      <x:c r="F6" s="18" t="str">
        <x:v>车型/车龄/地区、频次/案均赔款</x:v>
      </x:c>
      <x:c r="G6" s="18" t="str">
        <x:v>结构拖累与效率改善桥接</x:v>
      </x:c>
      <x:c r="H6" s="18" t="str">
        <x:v>中国平安_年报_2025.pdf，PDF第54页（报告印刷页码50），车险经营数据；中国平安_年报_2025.pdf，PDF第58页（报告印刷页码54），原保险保费按险种；中国平安_年报_2024.pdf，PDF第44至45页（报告印刷页码40至41），车险经营数据；用户确认假设A1</x:v>
      </x:c>
    </x:row>
    <x:row r="7" ht="46" hidden="0" customHeight="1">
      <x:c r="A7" s="18" t="str">
        <x:v>核心非车专题</x:v>
      </x:c>
      <x:c r="B7" s="18" t="str">
        <x:v>核心非车COR≥100%或责任险COR≥105%</x:v>
      </x:c>
      <x:c r="C7" s="48" t="n">
        <x:v>100.824516</x:v>
      </x:c>
      <x:c r="D7" s="18" t="str">
        <x:v>RED</x:v>
      </x:c>
      <x:c r="E7" s="18" t="str">
        <x:v>核心非车已跨过承保盈亏线</x:v>
      </x:c>
      <x:c r="F7" s="18" t="str">
        <x:v>责任险及其他财产险亏损单元</x:v>
      </x:c>
      <x:c r="G7" s="18" t="str">
        <x:v>频次、案均赔款、费用与准备金桥接</x:v>
      </x:c>
      <x:c r="H7" s="18" t="str">
        <x:v>中国平安_年报_2024.pdf，PDF第45页（报告印刷页码41），按险种划分的经营业绩表；中国平安_年报_2025.pdf，PDF第56页（报告印刷页码52），按险种划分的经营业绩表及COR公式；平安产险_年度信息披露报告_2025.pdf，PDF第119页，分部报告（2024年度比较数）；平安产险_年度信息披露报告_2025.pdf，PDF第117页，分部报告（2025年度）</x:v>
      </x:c>
    </x:row>
    <x:row r="8" ht="46" hidden="0" customHeight="1">
      <x:c r="A8" s="18" t="str">
        <x:v>车险量价专题</x:v>
      </x:c>
      <x:c r="B8" s="18" t="str">
        <x:v>车均保费黄灯且赔付率同比恶化</x:v>
      </x:c>
      <x:c r="C8" s="48" t="n">
        <x:v>-2.1299254526091604</x:v>
      </x:c>
      <x:c r="D8" s="18" t="str">
        <x:v>YELLOW</x:v>
      </x:c>
      <x:c r="E8" s="18" t="str">
        <x:v>数量增长被价格/结构下降部分抵消</x:v>
      </x:c>
      <x:c r="F8" s="18" t="str">
        <x:v>车辆数、车均保费、车型与渠道</x:v>
      </x:c>
      <x:c r="G8" s="18" t="str">
        <x:v>量价和结构效率分解</x:v>
      </x:c>
      <x:c r="H8" s="18" t="str">
        <x:v>平安产险_偿付能力报告_2025Q1.pdf，PDF第18页，主要经营指标表；平安产险_偿付能力报告_2026Q1.pdf，PDF第18页，主要经营指标表</x:v>
      </x:c>
    </x:row>
    <x:row r="9" ht="46" hidden="0" customHeight="1">
      <x:c r="A9" s="18" t="str">
        <x:v>利润桥接专题</x:v>
      </x:c>
      <x:c r="B9" s="18" t="str">
        <x:v>投资收益红灯或净利润连续黄灯</x:v>
      </x:c>
      <x:c r="C9" s="48" t="n">
        <x:v>-26.03410852713178</x:v>
      </x:c>
      <x:c r="D9" s="18" t="str">
        <x:v>RED</x:v>
      </x:c>
      <x:c r="E9" s="18" t="str">
        <x:v>承保改善未完全传导到净利润</x:v>
      </x:c>
      <x:c r="F9" s="18" t="str">
        <x:v>投资收益、其他损益、税费</x:v>
      </x:c>
      <x:c r="G9" s="18" t="str">
        <x:v>承保到净利润勾稽</x:v>
      </x:c>
      <x:c r="H9" s="18" t="str">
        <x:v>中国平安_年报_2024.pdf，PDF第46页（报告印刷页码42），经营业绩/产险业务分析表；中国平安_年报_2025.pdf，PDF第57页（报告印刷页码53），经营业绩/产险业务分析表</x:v>
      </x:c>
    </x:row>
  </x:sheetData>
  <x:mergeCells>
    <x:mergeCell ref="A1:H1"/>
    <x:mergeCell ref="A2:H2"/>
  </x:mergeCells>
  <x:conditionalFormatting sqref="D5:D9">
    <x:cfRule type="containsText" dxfId="0" priority="1" operator="containsText" text="GREEN"/>
    <x:cfRule type="containsText" dxfId="1" priority="2" operator="containsText" text="YELLOW"/>
    <x:cfRule type="containsText" dxfId="2" priority="3" operator="containsText" text="R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70" hidden="0" customWidth="1"/>
    <x:col min="5" max="5" width="40" hidden="0" customWidth="1"/>
    <x:col min="6" max="6" width="42" hidden="0" customWidth="1"/>
  </x:cols>
  <x:sheetData>
    <x:row r="1" ht="21.600000381469727" hidden="0" customHeight="1">
      <x:c r="A1" s="3" t="str">
        <x:v>未来90天经营动作</x:v>
      </x:c>
      <x:c r="B1" s="3"/>
      <x:c r="C1" s="3"/>
      <x:c r="D1" s="3"/>
      <x:c r="E1" s="3"/>
      <x:c r="F1" s="3"/>
    </x:row>
    <x:row r="2" ht="15" hidden="0" customHeight="1">
      <x:c r="A2" s="6" t="str">
        <x:v>动作只承诺可复核的经营方向，不编造公开数据无法支持的利润或COR弹性</x:v>
      </x:c>
      <x:c r="B2" s="6"/>
      <x:c r="C2" s="6"/>
      <x:c r="D2" s="6"/>
      <x:c r="E2" s="6"/>
      <x:c r="F2" s="6"/>
    </x:row>
    <x:row r="3"/>
    <x:row r="4" ht="15" hidden="0" customHeight="1">
      <x:c r="A4" s="15" t="str">
        <x:v>动作ID</x:v>
      </x:c>
      <x:c r="B4" s="15" t="str">
        <x:v>时间</x:v>
      </x:c>
      <x:c r="C4" s="15" t="str">
        <x:v>对象</x:v>
      </x:c>
      <x:c r="D4" s="15" t="str">
        <x:v>动作</x:v>
      </x:c>
      <x:c r="E4" s="15" t="str">
        <x:v>验收指标</x:v>
      </x:c>
      <x:c r="F4" s="15" t="str">
        <x:v>预期影响</x:v>
      </x:c>
    </x:row>
    <x:row r="5" ht="58" hidden="0" customHeight="1">
      <x:c r="A5" s="18" t="str">
        <x:v>A01</x:v>
      </x:c>
      <x:c r="B5" s="18" t="str">
        <x:v>0至30天</x:v>
      </x:c>
      <x:c r="C5" s="18" t="str">
        <x:v>责任险与核心非车</x:v>
      </x:c>
      <x:c r="D5" s="88" t="str">
        <x:v>把责任险按产品×地区×渠道×保单年度拆成亏损单元；冻结红色单元新增业务，逐单复核大额赔案和准备金发展</x:v>
      </x:c>
      <x:c r="E5" s="88" t="str">
        <x:v>责任险/核心非车运行COR、频次、案均赔款、续保调价</x:v>
      </x:c>
      <x:c r="F5" s="88" t="str">
        <x:v>先停止红灯继续扩大，推动责任险回到红线以下</x:v>
      </x:c>
    </x:row>
    <x:row r="6" ht="58" hidden="0" customHeight="1">
      <x:c r="A6" s="18" t="str">
        <x:v>A02</x:v>
      </x:c>
      <x:c r="B6" s="18" t="str">
        <x:v>0至30天</x:v>
      </x:c>
      <x:c r="C6" s="18" t="str">
        <x:v>车险量价与赔付</x:v>
      </x:c>
      <x:c r="D6" s="88" t="str">
        <x:v>把车险保费增长拆成隐含车辆数和车均保费；对车均保费下降且赔付率上行的车型、地区和渠道复核费率充足性</x:v>
      </x:c>
      <x:c r="E6" s="88" t="str">
        <x:v>车均保费同比、车辆数同比、赔付率同比</x:v>
      </x:c>
      <x:c r="F6" s="88" t="str">
        <x:v>车均保费和赔付率不再同时处于黄灯</x:v>
      </x:c>
    </x:row>
    <x:row r="7" ht="58" hidden="0" customHeight="1">
      <x:c r="A7" s="18" t="str">
        <x:v>A03</x:v>
      </x:c>
      <x:c r="B7" s="18" t="str">
        <x:v>31至60天</x:v>
      </x:c>
      <x:c r="C7" s="18" t="str">
        <x:v>新能源车险</x:v>
      </x:c>
      <x:c r="D7" s="88" t="str">
        <x:v>按车型、车龄、地区和维修网络重做新能源定价分层；扩大直供配件、维修网络和反欺诈规则覆盖</x:v>
      </x:c>
      <x:c r="E7" s="88" t="str">
        <x:v>新能源占比、频次、案均维修成本、敏感性结构拖累</x:v>
      </x:c>
      <x:c r="F7" s="88" t="str">
        <x:v>把结构拖累控制在黄线以内，避免吞掉相对同业的改善</x:v>
      </x:c>
    </x:row>
    <x:row r="8" ht="58" hidden="0" customHeight="1">
      <x:c r="A8" s="18" t="str">
        <x:v>A04</x:v>
      </x:c>
      <x:c r="B8" s="18" t="str">
        <x:v>31至60天</x:v>
      </x:c>
      <x:c r="C8" s="18" t="str">
        <x:v>保证险</x:v>
      </x:c>
      <x:c r="D8" s="88" t="str">
        <x:v>固定输出整体COR与剔除保证险COR两套口径；把存量释放、新业务盈利和收入权重变化分开</x:v>
      </x:c>
      <x:c r="E8" s="88" t="str">
        <x:v>保证险贡献占比、剔除保证险COR、保证险新业务COR</x:v>
      </x:c>
      <x:c r="F8" s="88" t="str">
        <x:v>停止把阶段性贡献写入可持续基线</x:v>
      </x:c>
    </x:row>
    <x:row r="9" ht="58" hidden="0" customHeight="1">
      <x:c r="A9" s="18" t="str">
        <x:v>A05</x:v>
      </x:c>
      <x:c r="B9" s="18" t="str">
        <x:v>61至90天</x:v>
      </x:c>
      <x:c r="C9" s="18" t="str">
        <x:v>利润与投资桥接</x:v>
      </x:c>
      <x:c r="D9" s="88" t="str">
        <x:v>每月把承保利润、投资收益、其他损益和税费勾稽到净利润；承保改善而净利润下降时自动升级复盘</x:v>
      </x:c>
      <x:c r="E9" s="88" t="str">
        <x:v>承保利润、总投资收益、净利润及桥接差额</x:v>
      </x:c>
      <x:c r="F9" s="88" t="str">
        <x:v>解释利润分化来源，避免用承保指标代替最终利润判断</x:v>
      </x:c>
    </x:row>
    <x:row r="10"/>
    <x:row r="11"/>
    <x:row r="12" ht="58" hidden="0" customHeight="1">
      <x:c r="A12" s="23" t="str">
        <x:v>【假设：90天动作以方向性目标和可复核指标表达，不承诺缺乏弹性数据支持的精确利润或COR改善百分点｜依据：公开材料没有定价、理赔、费用动作对COR的响应系数｜影响：验收以信号退回黄线/绿线、拆解勾稽完成和恶化停止为准｜用户已于2026-08-16授权AI判断】</x:v>
      </x:c>
      <x:c r="B12" s="24"/>
      <x:c r="C12" s="24"/>
      <x:c r="D12" s="24"/>
      <x:c r="E12" s="24"/>
      <x:c r="F12" s="25"/>
    </x:row>
  </x:sheetData>
  <x:mergeCells>
    <x:mergeCell ref="A1:F1"/>
    <x:mergeCell ref="A2:F2"/>
    <x:mergeCell ref="A12:F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28" hidden="0" customWidth="1"/>
  </x:cols>
  <x:sheetData>
    <x:row r="1" ht="21.600000381469727" hidden="0" customHeight="1">
      <x:c r="A1" s="3" t="str">
        <x:v>模型检查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PASS表示公式、阈值引用、量价勾稽和来源完整性通过，不代表管理阈值是监管标准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5" t="str">
        <x:v>检查项</x:v>
      </x:c>
      <x:c r="B4" s="15" t="str">
        <x:v>实际值</x:v>
      </x:c>
      <x:c r="C4" s="15" t="str">
        <x:v>期望值</x:v>
      </x:c>
      <x:c r="D4" s="15" t="str">
        <x:v>差异</x:v>
      </x:c>
      <x:c r="E4" s="15" t="str">
        <x:v>容差</x:v>
      </x:c>
      <x:c r="F4" s="15" t="str">
        <x:v>状态</x:v>
      </x:c>
      <x:c r="G4" s="15" t="str">
        <x:v>说明</x:v>
      </x:c>
    </x:row>
    <x:row r="5" ht="15" hidden="0" customHeight="1">
      <x:c r="A5" s="18" t="str">
        <x:v>2025Q1 COR=赔付率+费用率</x:v>
      </x:c>
      <x:c r="B5" s="85" t="n">
        <x:v>95.6</x:v>
      </x:c>
      <x:c r="C5" s="85" t="n">
        <x:v>95.6</x:v>
      </x:c>
      <x:c r="D5" s="85" t="n">
        <x:f>ABS(B5-C5)</x:f>
        <x:v>0</x:v>
      </x:c>
      <x:c r="E5" s="85" t="n">
        <x:v>0.001</x:v>
      </x:c>
      <x:c r="F5" s="18" t="str">
        <x:f>IF(D5&lt;=E5,"PASS","FAIL")</x:f>
        <x:v>PASS</x:v>
      </x:c>
      <x:c r="G5" s="18" t="str">
        <x:v>季度比率勾稽</x:v>
      </x:c>
    </x:row>
    <x:row r="6" ht="15" hidden="0" customHeight="1">
      <x:c r="A6" s="18" t="str">
        <x:v>2026Q1 COR=赔付率+费用率</x:v>
      </x:c>
      <x:c r="B6" s="85" t="n">
        <x:v>94.9</x:v>
      </x:c>
      <x:c r="C6" s="85" t="n">
        <x:v>94.9</x:v>
      </x:c>
      <x:c r="D6" s="85" t="n">
        <x:f>ABS(B6-C6)</x:f>
        <x:v>0</x:v>
      </x:c>
      <x:c r="E6" s="85" t="n">
        <x:v>0.001</x:v>
      </x:c>
      <x:c r="F6" s="18" t="str">
        <x:f>IF(D6&lt;=E6,"PASS","FAIL")</x:f>
        <x:v>PASS</x:v>
      </x:c>
      <x:c r="G6" s="18" t="str">
        <x:v>季度比率勾稽</x:v>
      </x:c>
    </x:row>
    <x:row r="7" ht="15" hidden="0" customHeight="1">
      <x:c r="A7" s="18" t="str">
        <x:v>2025Q1车险保费量价勾稽</x:v>
      </x:c>
      <x:c r="B7" s="85" t="n">
        <x:v>56950.864116</x:v>
      </x:c>
      <x:c r="C7" s="85" t="n">
        <x:v>56950.864116000004</x:v>
      </x:c>
      <x:c r="D7" s="85" t="n">
        <x:f>ABS(B7-C7)</x:f>
        <x:v>7.275957614183426e-12</x:v>
      </x:c>
      <x:c r="E7" s="85" t="n">
        <x:v>0.001</x:v>
      </x:c>
      <x:c r="F7" s="18" t="str">
        <x:f>IF(D7&lt;=E7,"PASS","FAIL")</x:f>
        <x:v>PASS</x:v>
      </x:c>
      <x:c r="G7" s="18" t="str">
        <x:v>保费=数量×车均保费</x:v>
      </x:c>
    </x:row>
    <x:row r="8" ht="15" hidden="0" customHeight="1">
      <x:c r="A8" s="18" t="str">
        <x:v>2026Q1车险保费量价勾稽</x:v>
      </x:c>
      <x:c r="B8" s="85" t="n">
        <x:v>56664.100758</x:v>
      </x:c>
      <x:c r="C8" s="85" t="n">
        <x:v>56664.10075800001</x:v>
      </x:c>
      <x:c r="D8" s="85" t="n">
        <x:f>ABS(B8-C8)</x:f>
        <x:v>7.275957614183426e-12</x:v>
      </x:c>
      <x:c r="E8" s="85" t="n">
        <x:v>0.001</x:v>
      </x:c>
      <x:c r="F8" s="18" t="str">
        <x:f>IF(D8&lt;=E8,"PASS","FAIL")</x:f>
        <x:v>PASS</x:v>
      </x:c>
      <x:c r="G8" s="18" t="str">
        <x:v>保费=数量×车均保费</x:v>
      </x:c>
    </x:row>
    <x:row r="9" ht="15" hidden="0" customHeight="1">
      <x:c r="A9" s="18" t="str">
        <x:v>2025同业差</x:v>
      </x:c>
      <x:c r="B9" s="85" t="n">
        <x:v>-0.7</x:v>
      </x:c>
      <x:c r="C9" s="85" t="n">
        <x:v>-0.7000000000000028</x:v>
      </x:c>
      <x:c r="D9" s="85" t="n">
        <x:f>ABS(B9-C9)</x:f>
        <x:v>2.886579864025407e-15</x:v>
      </x:c>
      <x:c r="E9" s="85" t="n">
        <x:v>0.000001</x:v>
      </x:c>
      <x:c r="F9" s="18" t="str">
        <x:f>IF(D9&lt;=E9,"PASS","FAIL")</x:f>
        <x:v>PASS</x:v>
      </x:c>
      <x:c r="G9" s="18" t="str">
        <x:v>平安COR-同业均值</x:v>
      </x:c>
    </x:row>
    <x:row r="10" ht="15" hidden="0" customHeight="1">
      <x:c r="A10" s="18" t="str">
        <x:v>保证险贡献状态</x:v>
      </x:c>
      <x:c r="B10" s="85" t="n">
        <x:v>1</x:v>
      </x:c>
      <x:c r="C10" s="85" t="n">
        <x:v>1</x:v>
      </x:c>
      <x:c r="D10" s="85" t="n">
        <x:f>ABS(B10-C10)</x:f>
        <x:v>0</x:v>
      </x:c>
      <x:c r="E10" s="85" t="n">
        <x:v>0</x:v>
      </x:c>
      <x:c r="F10" s="18" t="str">
        <x:f>IF(D10&lt;=E10,"PASS","FAIL")</x:f>
        <x:v>PASS</x:v>
      </x:c>
      <x:c r="G10" s="18" t="str">
        <x:v>超过50%应为RED</x:v>
      </x:c>
    </x:row>
    <x:row r="11" ht="15" hidden="0" customHeight="1">
      <x:c r="A11" s="18" t="str">
        <x:v>新能源情景状态</x:v>
      </x:c>
      <x:c r="B11" s="85" t="n">
        <x:v>1</x:v>
      </x:c>
      <x:c r="C11" s="85" t="n">
        <x:v>1</x:v>
      </x:c>
      <x:c r="D11" s="85" t="n">
        <x:f>ABS(B11-C11)</x:f>
        <x:v>0</x:v>
      </x:c>
      <x:c r="E11" s="85" t="n">
        <x:v>0</x:v>
      </x:c>
      <x:c r="F11" s="18" t="str">
        <x:f>IF(D11&lt;=E11,"PASS","FAIL")</x:f>
        <x:v>PASS</x:v>
      </x:c>
      <x:c r="G11" s="18" t="str">
        <x:v>上限超过0.30pp</x:v>
      </x:c>
    </x:row>
    <x:row r="12" ht="15" hidden="0" customHeight="1">
      <x:c r="A12" s="18" t="str">
        <x:v>来源完整性</x:v>
      </x:c>
      <x:c r="B12" s="85" t="n">
        <x:v>16</x:v>
      </x:c>
      <x:c r="C12" s="85" t="n">
        <x:v>16</x:v>
      </x:c>
      <x:c r="D12" s="85" t="n">
        <x:f>ABS(B12-C12)</x:f>
        <x:v>0</x:v>
      </x:c>
      <x:c r="E12" s="85" t="n">
        <x:v>0</x:v>
      </x:c>
      <x:c r="F12" s="18" t="str">
        <x:f>IF(D12&lt;=E12,"PASS","FAIL")</x:f>
        <x:v>PASS</x:v>
      </x:c>
      <x:c r="G12" s="18" t="str">
        <x:v>全部指标有来源</x:v>
      </x:c>
    </x:row>
    <x:row r="13"/>
    <x:row r="14"/>
    <x:row r="15" ht="16.799999237060547" hidden="0" customHeight="1">
      <x:c r="A15" s="11" t="str">
        <x:v>MODEL STATUS</x:v>
      </x:c>
      <x:c r="B15" s="87" t="str">
        <x:f>IF(COUNTIF(F5:F12,"FAIL")=0,"PASS","FAIL")</x:f>
        <x:v>PASS</x:v>
      </x:c>
    </x:row>
  </x:sheetData>
  <x:mergeCells>
    <x:mergeCell ref="A1:G1"/>
    <x:mergeCell ref="A2:G2"/>
  </x:mergeCells>
  <x:conditionalFormatting sqref="F5:F12">
    <x:cfRule type="containsText" dxfId="12" priority="1" operator="containsText" text="GREEN"/>
    <x:cfRule type="containsText" dxfId="13" priority="2" operator="containsText" text="YELLOW"/>
    <x:cfRule type="containsText" dxfId="14" priority="3" operator="containsText" text="RED"/>
    <x:cfRule type="containsText" dxfId="15" priority="4" operator="containsText" text="PASS"/>
    <x:cfRule type="containsText" dxfId="16" priority="5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28" hidden="0" customWidth="1"/>
    <x:col min="4" max="4" width="15" hidden="0" customWidth="1"/>
    <x:col min="5" max="5" width="24" hidden="0" customWidth="1"/>
    <x:col min="6" max="6" width="76" hidden="0" customWidth="1"/>
    <x:col min="7" max="7" width="24" hidden="0" customWidth="1"/>
  </x:cols>
  <x:sheetData>
    <x:row r="1" ht="21.600000381469727" hidden="0" customHeight="1">
      <x:c r="A1" s="3" t="str">
        <x:v>来源索引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所有实测数字来自项目白名单；管理阈值单独标为判断，不冒充行业标准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5" t="str">
        <x:v>来源ID</x:v>
      </x:c>
      <x:c r="B4" s="15" t="str">
        <x:v>文件</x:v>
      </x:c>
      <x:c r="C4" s="15" t="str">
        <x:v>页码/表号</x:v>
      </x:c>
      <x:c r="D4" s="15" t="str">
        <x:v>期间</x:v>
      </x:c>
      <x:c r="E4" s="15" t="str">
        <x:v>用途</x:v>
      </x:c>
      <x:c r="F4" s="15" t="str">
        <x:v>本地路径</x:v>
      </x:c>
      <x:c r="G4" s="15" t="str">
        <x:v>备注</x:v>
      </x:c>
    </x:row>
    <x:row r="5" ht="15" hidden="0" customHeight="1">
      <x:c r="A5" s="18" t="str">
        <x:v>Q25</x:v>
      </x:c>
      <x:c r="B5" s="18" t="str">
        <x:v>平安产险_偿付能力报告_2025Q1.pdf</x:v>
      </x:c>
      <x:c r="C5" s="18" t="str">
        <x:v>PDF第18页，主要经营指标表</x:v>
      </x:c>
      <x:c r="D5" s="18" t="str">
        <x:v>2025Q1</x:v>
      </x:c>
      <x:c r="E5" s="18" t="str">
        <x:v>季度经营与量价</x:v>
      </x:c>
      <x:c r="F5" s="18" t="str">
        <x:v>/Users/arinwu/Downloads/pingan-analysis/00-原始材料/平安产险_偿付能力报告_2025Q1.pdf</x:v>
      </x:c>
      <x:c r="G5" s="18" t="str">
        <x:v>偿付能力口径</x:v>
      </x:c>
    </x:row>
    <x:row r="6" ht="15" hidden="0" customHeight="1">
      <x:c r="A6" s="18" t="str">
        <x:v>Q26</x:v>
      </x:c>
      <x:c r="B6" s="18" t="str">
        <x:v>平安产险_偿付能力报告_2026Q1.pdf</x:v>
      </x:c>
      <x:c r="C6" s="18" t="str">
        <x:v>PDF第18页，主要经营指标表</x:v>
      </x:c>
      <x:c r="D6" s="18" t="str">
        <x:v>2026Q1</x:v>
      </x:c>
      <x:c r="E6" s="18" t="str">
        <x:v>季度经营与量价</x:v>
      </x:c>
      <x:c r="F6" s="18" t="str">
        <x:v>/Users/arinwu/Downloads/pingan-analysis/00-原始材料/平安产险_偿付能力报告_2026Q1.pdf</x:v>
      </x:c>
      <x:c r="G6" s="18" t="str">
        <x:v>偿付能力口径</x:v>
      </x:c>
    </x:row>
    <x:row r="7" ht="15" hidden="0" customHeight="1">
      <x:c r="A7" s="18" t="str">
        <x:v>A24</x:v>
      </x:c>
      <x:c r="B7" s="18" t="str">
        <x:v>中国平安_年报_2024.pdf</x:v>
      </x:c>
      <x:c r="C7" s="18" t="str">
        <x:v>PDF第46页（报告页42）</x:v>
      </x:c>
      <x:c r="D7" s="18" t="str">
        <x:v>2024</x:v>
      </x:c>
      <x:c r="E7" s="18" t="str">
        <x:v>年度结果链</x:v>
      </x:c>
      <x:c r="F7" s="18" t="str">
        <x:v>/Users/arinwu/Downloads/pingan-analysis/00-原始材料/中国平安_年报_2024.pdf</x:v>
      </x:c>
      <x:c r="G7" s="18" t="str">
        <x:v>IFRS 17</x:v>
      </x:c>
    </x:row>
    <x:row r="8" ht="15" hidden="0" customHeight="1">
      <x:c r="A8" s="18" t="str">
        <x:v>A25</x:v>
      </x:c>
      <x:c r="B8" s="18" t="str">
        <x:v>中国平安_年报_2025.pdf</x:v>
      </x:c>
      <x:c r="C8" s="18" t="str">
        <x:v>PDF第57页（报告页53）</x:v>
      </x:c>
      <x:c r="D8" s="18" t="str">
        <x:v>2025</x:v>
      </x:c>
      <x:c r="E8" s="18" t="str">
        <x:v>年度结果链</x:v>
      </x:c>
      <x:c r="F8" s="18" t="str">
        <x:v>/Users/arinwu/Downloads/pingan-analysis/00-原始材料/中国平安_年报_2025.pdf</x:v>
      </x:c>
      <x:c r="G8" s="18" t="str">
        <x:v>IFRS 17</x:v>
      </x:c>
    </x:row>
    <x:row r="9" ht="15" hidden="0" customHeight="1">
      <x:c r="A9" s="18" t="str">
        <x:v>SEG24</x:v>
      </x:c>
      <x:c r="B9" s="18" t="str">
        <x:v>中国平安_年报_2024.pdf</x:v>
      </x:c>
      <x:c r="C9" s="18" t="str">
        <x:v>PDF第45页（报告页41）</x:v>
      </x:c>
      <x:c r="D9" s="18" t="str">
        <x:v>2024</x:v>
      </x:c>
      <x:c r="E9" s="18" t="str">
        <x:v>分险种经营</x:v>
      </x:c>
      <x:c r="F9" s="18" t="str">
        <x:v>/Users/arinwu/Downloads/pingan-analysis/00-原始材料/中国平安_年报_2024.pdf</x:v>
      </x:c>
      <x:c r="G9" s="18" t="str">
        <x:v>按险种表</x:v>
      </x:c>
    </x:row>
    <x:row r="10" ht="15" hidden="0" customHeight="1">
      <x:c r="A10" s="18" t="str">
        <x:v>SEG25</x:v>
      </x:c>
      <x:c r="B10" s="18" t="str">
        <x:v>中国平安_年报_2025.pdf</x:v>
      </x:c>
      <x:c r="C10" s="18" t="str">
        <x:v>PDF第56页（报告页52）</x:v>
      </x:c>
      <x:c r="D10" s="18" t="str">
        <x:v>2025</x:v>
      </x:c>
      <x:c r="E10" s="18" t="str">
        <x:v>分险种经营</x:v>
      </x:c>
      <x:c r="F10" s="18" t="str">
        <x:v>/Users/arinwu/Downloads/pingan-analysis/00-原始材料/中国平安_年报_2025.pdf</x:v>
      </x:c>
      <x:c r="G10" s="18" t="str">
        <x:v>按险种表及COR公式</x:v>
      </x:c>
    </x:row>
    <x:row r="11" ht="15" hidden="0" customHeight="1">
      <x:c r="A11" s="18" t="str">
        <x:v>L23</x:v>
      </x:c>
      <x:c r="B11" s="18" t="str">
        <x:v>平安产险_年度信息披露报告_2023.pdf</x:v>
      </x:c>
      <x:c r="C11" s="18" t="str">
        <x:v>PDF第118页</x:v>
      </x:c>
      <x:c r="D11" s="18" t="str">
        <x:v>2023</x:v>
      </x:c>
      <x:c r="E11" s="18" t="str">
        <x:v>分部底数</x:v>
      </x:c>
      <x:c r="F11" s="18" t="str">
        <x:v>/Users/arinwu/Downloads/pingan-analysis/00-原始材料/平安产险_年度信息披露报告_2023.pdf</x:v>
      </x:c>
      <x:c r="G11" s="18" t="str">
        <x:v>分部报告</x:v>
      </x:c>
    </x:row>
    <x:row r="12" ht="15" hidden="0" customHeight="1">
      <x:c r="A12" s="18" t="str">
        <x:v>L25A</x:v>
      </x:c>
      <x:c r="B12" s="18" t="str">
        <x:v>平安产险_年度信息披露报告_2025.pdf</x:v>
      </x:c>
      <x:c r="C12" s="18" t="str">
        <x:v>PDF第117页</x:v>
      </x:c>
      <x:c r="D12" s="18" t="str">
        <x:v>2025</x:v>
      </x:c>
      <x:c r="E12" s="18" t="str">
        <x:v>分部底数</x:v>
      </x:c>
      <x:c r="F12" s="18" t="str">
        <x:v>/Users/arinwu/Downloads/pingan-analysis/00-原始材料/平安产险_年度信息披露报告_2025.pdf</x:v>
      </x:c>
      <x:c r="G12" s="18" t="str">
        <x:v>分部报告</x:v>
      </x:c>
    </x:row>
    <x:row r="13" ht="15" hidden="0" customHeight="1">
      <x:c r="A13" s="18" t="str">
        <x:v>L25B</x:v>
      </x:c>
      <x:c r="B13" s="18" t="str">
        <x:v>平安产险_年度信息披露报告_2025.pdf</x:v>
      </x:c>
      <x:c r="C13" s="18" t="str">
        <x:v>PDF第119页</x:v>
      </x:c>
      <x:c r="D13" s="18" t="str">
        <x:v>2024比较数</x:v>
      </x:c>
      <x:c r="E13" s="18" t="str">
        <x:v>分部底数</x:v>
      </x:c>
      <x:c r="F13" s="18" t="str">
        <x:v>/Users/arinwu/Downloads/pingan-analysis/00-原始材料/平安产险_年度信息披露报告_2025.pdf</x:v>
      </x:c>
      <x:c r="G13" s="18" t="str">
        <x:v>分部报告</x:v>
      </x:c>
    </x:row>
    <x:row r="14" ht="15" hidden="0" customHeight="1">
      <x:c r="A14" s="18" t="str">
        <x:v>PI25</x:v>
      </x:c>
      <x:c r="B14" s="18" t="str">
        <x:v>人保财险_年报_2025.pdf</x:v>
      </x:c>
      <x:c r="C14" s="18" t="str">
        <x:v>PDF第14页（报告页12）</x:v>
      </x:c>
      <x:c r="D14" s="18" t="str">
        <x:v>2025</x:v>
      </x:c>
      <x:c r="E14" s="18" t="str">
        <x:v>同业COR</x:v>
      </x:c>
      <x:c r="F14" s="18" t="str">
        <x:v>/Users/arinwu/Downloads/pingan-analysis/00-原始材料/人保财险_年报_2025.pdf</x:v>
      </x:c>
      <x:c r="G14" s="18" t="str">
        <x:v>承保业绩表</x:v>
      </x:c>
    </x:row>
    <x:row r="15" ht="15" hidden="0" customHeight="1">
      <x:c r="A15" s="18" t="str">
        <x:v>CP25</x:v>
      </x:c>
      <x:c r="B15" s="18" t="str">
        <x:v>中国太保_年报_2025.pdf</x:v>
      </x:c>
      <x:c r="C15" s="18" t="str">
        <x:v>PDF第44页（报告页27）</x:v>
      </x:c>
      <x:c r="D15" s="18" t="str">
        <x:v>2025</x:v>
      </x:c>
      <x:c r="E15" s="18" t="str">
        <x:v>同业COR</x:v>
      </x:c>
      <x:c r="F15" s="18" t="str">
        <x:v>/Users/arinwu/Downloads/pingan-analysis/00-原始材料/中国太保_年报_2025.pdf</x:v>
      </x:c>
      <x:c r="G15" s="18" t="str">
        <x:v>产险经营指标</x:v>
      </x:c>
    </x:row>
    <x:row r="16" ht="15" hidden="0" customHeight="1">
      <x:c r="A16" s="18" t="str">
        <x:v>IND25</x:v>
      </x:c>
      <x:c r="B16" s="18" t="str">
        <x:v>监管总局_保险业经营情况表_2025-03.xlsx</x:v>
      </x:c>
      <x:c r="C16" s="18" t="str">
        <x:v>月度表第7行</x:v>
      </x:c>
      <x:c r="D16" s="18" t="str">
        <x:v>2025-03</x:v>
      </x:c>
      <x:c r="E16" s="18" t="str">
        <x:v>行业保费</x:v>
      </x:c>
      <x:c r="F16" s="18" t="str">
        <x:v>/Users/arinwu/Downloads/pingan-analysis/00-原始材料/监管总局_保险业经营情况表_2025-03.xlsx</x:v>
      </x:c>
      <x:c r="G16" s="18" t="str">
        <x:v>财产险</x:v>
      </x:c>
    </x:row>
    <x:row r="17" ht="15" hidden="0" customHeight="1">
      <x:c r="A17" s="18" t="str">
        <x:v>IND26</x:v>
      </x:c>
      <x:c r="B17" s="18" t="str">
        <x:v>监管总局_保险业经营情况表_2026-03.xls</x:v>
      </x:c>
      <x:c r="C17" s="18" t="str">
        <x:v>月度表第8行</x:v>
      </x:c>
      <x:c r="D17" s="18" t="str">
        <x:v>2026-03</x:v>
      </x:c>
      <x:c r="E17" s="18" t="str">
        <x:v>行业保费</x:v>
      </x:c>
      <x:c r="F17" s="18" t="str">
        <x:v>/Users/arinwu/Downloads/pingan-analysis/00-原始材料/监管总局_保险业经营情况表_2026-03.xls</x:v>
      </x:c>
      <x:c r="G17" s="18" t="str">
        <x:v>财产险</x:v>
      </x:c>
    </x:row>
  </x:sheetData>
  <x:mergeCells>
    <x:mergeCell ref="A1:G1"/>
    <x:mergeCell ref="A2:G2"/>
  </x:mergeCells>
  <x:pageMargins left="0.7" right="0.7" top="0.75" bottom="0.75" header="0.3" footer="0.3"/>
</x:worksheet>
</file>