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e5cc6524c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d699f2b86d43bc"/>
    <x:sheet xmlns:r="http://schemas.openxmlformats.org/officeDocument/2006/relationships" name="Inputs" sheetId="2" r:id="Re5911033f9404c38"/>
    <x:sheet xmlns:r="http://schemas.openxmlformats.org/officeDocument/2006/relationships" name="Annual_Change" sheetId="3" r:id="R7474a17911614efb"/>
    <x:sheet xmlns:r="http://schemas.openxmlformats.org/officeDocument/2006/relationships" name="Gap_2025" sheetId="4" r:id="Rae348b8a5b30434d"/>
    <x:sheet xmlns:r="http://schemas.openxmlformats.org/officeDocument/2006/relationships" name="Stage3_Synthesis" sheetId="5" r:id="R7dd6346c326742e6"/>
    <x:sheet xmlns:r="http://schemas.openxmlformats.org/officeDocument/2006/relationships" name="Checks" sheetId="6" r:id="Rbd0c100e0e2942f8"/>
    <x:sheet xmlns:r="http://schemas.openxmlformats.org/officeDocument/2006/relationships" name="Sources" sheetId="7" r:id="Rbe5db53fbe524161"/>
  </x:sheets>
</x:workbook>
</file>

<file path=xl/comments1.xml><?xml version="1.0" encoding="utf-8"?>
<x:comments xmlns:x="http://schemas.openxmlformats.org/spreadsheetml/2006/main">
  <x:authors>
    <x:author>tc={37C71CCC-B21C-A8E9-6CF6-390524BDA772}</x:author>
    <x:author>tc={126EC906-8B21-AA65-E629-90EEAD73EF26}</x:author>
    <x:author>tc={A215AE89-DE42-F8F9-1BF2-9BF86EF6D60F}</x:author>
    <x:author>tc={C8368531-16AD-DE26-3772-AD7D4F178F47}</x:author>
    <x:author>tc={61B0B2EC-E022-5AB0-2D8B-D2269AD3E06F}</x:author>
    <x:author>tc={36EB7C83-6FAA-774E-520F-5343418A0ABF}</x:author>
    <x:author>tc={696974AF-29CC-5916-F9B9-D60BCBE4BFBC}</x:author>
    <x:author>tc={2F3568A9-5F90-9CB2-F712-20ED534BAB04}</x:author>
    <x:author>tc={79F31B38-CC7F-5B7A-8B20-1113597E6B77}</x:author>
    <x:author>tc={384EA27C-E444-F9AD-1D1B-443485E69B10}</x:author>
    <x:author>tc={543D21FF-6C30-ABAE-9C36-CDA1C028CFE3}</x:author>
    <x:author>tc={7DFAB2A5-4A7B-4910-7C20-AE6C5CAB2D45}</x:author>
    <x:author>tc={1A94D179-02D6-2F77-1B2A-74F099B230FC}</x:author>
    <x:author>tc={09AF510B-2B14-D79F-F776-923F55ECAC78}</x:author>
    <x:author>tc={9F631D8B-77D2-4907-66B4-5C15C55F44C9}</x:author>
    <x:author>tc={0D5A8739-A837-A79E-EAB1-E951E35B249F}</x:author>
    <x:author>tc={B47B9318-7BCF-0658-85EB-89B214640AE4}</x:author>
    <x:author>tc={371E0FEA-C931-BEB9-5027-55910D46B664}</x:author>
    <x:author>tc={E448E4AE-BA71-FDED-973E-753C7E4AB3FB}</x:author>
    <x:author>tc={5221AAC9-B09A-07B6-3BEC-4654E80E6C26}</x:author>
    <x:author>tc={9C4B2AD0-5C25-81DB-5E72-CE74224BC5C7}</x:author>
    <x:author>tc={C0DEDAB7-62BB-FF7F-6904-9DC402A88629}</x:author>
    <x:author>tc={F208CE81-07FC-3F47-F4C6-D68C7767EB77}</x:author>
    <x:author>tc={D75BD765-D1C0-009E-2D9A-4646D2FE4515}</x:author>
    <x:author>tc={6FA6F79C-4005-9F40-7C04-560821F87409}</x:author>
    <x:author>tc={BC55BC35-0D55-A73E-5CD5-F3EA124964C3}</x:author>
    <x:author>tc={8B558652-30AD-B868-3232-C0C83268884C}</x:author>
    <x:author>tc={FEF84155-1E12-272C-D3EC-58EE91C5D916}</x:author>
    <x:author>tc={FAE16E82-16F2-F0AE-ADAB-1BED5C7AF711}</x:author>
    <x:author>tc={2A747B24-1F13-9DFE-42ED-41F84288644F}</x:author>
    <x:author>tc={574F8D47-26A4-80FA-14DB-18FB99ED45BA}</x:author>
    <x:author>tc={84F3E1B2-1885-3EE9-26FF-0068F2F3A150}</x:author>
    <x:author>tc={00290735-96DA-CCDD-FD2D-2C64F13E1720}</x:author>
    <x:author>tc={0CFE0BF0-79D9-DEEA-0E5B-F5C9A7A5BA31}</x:author>
    <x:author>tc={2AF0BFFC-6A25-AA03-4401-4DF35DC38FA5}</x:author>
    <x:author>tc={F948F6C8-98F4-C04C-8F9C-98071F113FBA}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 第27页（报告印刷页码23），经营业绩/产险业务分析表</x:t>
        </x:r>
      </x:text>
    </x:comment>
    <x:comment ref="E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 第27页（报告印刷页码23），经营业绩/产险业务分析表</x:t>
        </x:r>
      </x:text>
    </x:comment>
    <x:comment ref="F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 第27页（报告印刷页码23），经营业绩/产险业务分析表</x:t>
        </x:r>
      </x:text>
    </x:comment>
    <x:comment ref="D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 第27页（报告印刷页码23），经营业绩/产险业务分析表</x:t>
        </x:r>
      </x:text>
    </x:comment>
    <x:comment ref="E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 第27页（报告印刷页码23），经营业绩/产险业务分析表</x:t>
        </x:r>
      </x:text>
    </x:comment>
    <x:comment ref="F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 第27页（报告印刷页码23），经营业绩/产险业务分析表</x:t>
        </x:r>
      </x:text>
    </x:comment>
    <x:comment ref="D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 第46页（报告印刷页码42），经营业绩/产险业务分析表</x:t>
        </x:r>
      </x:text>
    </x:comment>
    <x:comment ref="E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 第46页（报告印刷页码42），经营业绩/产险业务分析表</x:t>
        </x:r>
      </x:text>
    </x:comment>
    <x:comment ref="F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 第46页（报告印刷页码42），经营业绩/产险业务分析表</x:t>
        </x:r>
      </x:text>
    </x:comment>
    <x:comment ref="D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 第57页（报告印刷页码53），经营业绩/产险业务分析表</x:t>
        </x:r>
      </x:text>
    </x:comment>
    <x:comment ref="E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 第57页（报告印刷页码53），经营业绩/产险业务分析表</x:t>
        </x:r>
      </x:text>
    </x:comment>
    <x:comment ref="F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 第57页（报告印刷页码53），经营业绩/产险业务分析表</x:t>
        </x:r>
      </x:text>
    </x:comment>
    <x:comment ref="D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人保财险_年报_2023.pdf，PDF 第13页（报告印刷页码11），承保业绩表</x:t>
        </x:r>
      </x:text>
    </x:comment>
    <x:comment ref="E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人保财险_年报_2023.pdf，PDF 第13页（报告印刷页码11），承保业绩表</x:t>
        </x:r>
      </x:text>
    </x:comment>
    <x:comment ref="F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人保财险_年报_2023.pdf，PDF 第13页（报告印刷页码11），承保业绩表</x:t>
        </x:r>
      </x:text>
    </x:comment>
    <x:comment ref="D1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人保财险_年报_2023.pdf，PDF 第13页（报告印刷页码11），承保业绩表</x:t>
        </x:r>
      </x:text>
    </x:comment>
    <x:comment ref="E1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人保财险_年报_2023.pdf，PDF 第13页（报告印刷页码11），承保业绩表</x:t>
        </x:r>
      </x:text>
    </x:comment>
    <x:comment ref="F10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人保财险_年报_2023.pdf，PDF 第13页（报告印刷页码11），承保业绩表</x:t>
        </x:r>
      </x:text>
    </x:comment>
    <x:comment ref="D1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人保财险_年报_2024.pdf，PDF 第14页（报告印刷页码12），承保业绩表</x:t>
        </x:r>
      </x:text>
    </x:comment>
    <x:comment ref="E1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人保财险_年报_2024.pdf，PDF 第14页（报告印刷页码12），承保业绩表</x:t>
        </x:r>
      </x:text>
    </x:comment>
    <x:comment ref="F1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人保财险_年报_2024.pdf，PDF 第14页（报告印刷页码12），承保业绩表</x:t>
        </x:r>
      </x:text>
    </x:comment>
    <x:comment ref="D12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人保财险_年报_2025.pdf，PDF 第14页（报告印刷页码12），承保业绩表</x:t>
        </x:r>
      </x:text>
    </x:comment>
    <x:comment ref="E12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人保财险_年报_2025.pdf，PDF 第14页（报告印刷页码12），承保业绩表</x:t>
        </x:r>
      </x:text>
    </x:comment>
    <x:comment ref="F12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人保财险_年报_2025.pdf，PDF 第14页（报告印刷页码12），承保业绩表</x:t>
        </x:r>
      </x:text>
    </x:comment>
    <x:comment ref="D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中国太保_年报_2023.pdf，PDF 第33页（报告印刷页码16），产险业务经营指标</x:t>
        </x:r>
      </x:text>
    </x:comment>
    <x:comment ref="E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中国太保_年报_2023.pdf，PDF 第33页（报告印刷页码16），产险业务经营指标</x:t>
        </x:r>
      </x:text>
    </x:comment>
    <x:comment ref="F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中国太保_年报_2023.pdf，PDF 第33页（报告印刷页码16），产险业务经营指标</x:t>
        </x:r>
      </x:text>
    </x:comment>
    <x:comment ref="D14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中国太保_年报_2023.pdf，PDF 第33页（报告印刷页码16），产险业务经营指标</x:t>
        </x:r>
      </x:text>
    </x:comment>
    <x:comment ref="E1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中国太保_年报_2023.pdf，PDF 第33页（报告印刷页码16），产险业务经营指标</x:t>
        </x:r>
      </x:text>
    </x:comment>
    <x:comment ref="F1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中国太保_年报_2023.pdf，PDF 第33页（报告印刷页码16），产险业务经营指标</x:t>
        </x:r>
      </x:text>
    </x:comment>
    <x:comment ref="D1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中国太保_年报_2024.pdf，PDF 第46页（报告印刷页码27），产险业务经营指标</x:t>
        </x:r>
      </x:text>
    </x:comment>
    <x:comment ref="E15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中国太保_年报_2024.pdf，PDF 第46页（报告印刷页码27），产险业务经营指标</x:t>
        </x:r>
      </x:text>
    </x:comment>
    <x:comment ref="F15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中国太保_年报_2024.pdf，PDF 第46页（报告印刷页码27），产险业务经营指标</x:t>
        </x:r>
      </x:text>
    </x:comment>
    <x:comment ref="D16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中国太保_年报_2025.pdf，PDF 第44页（报告印刷页码27），产险业务经营指标</x:t>
        </x:r>
      </x:text>
    </x:comment>
    <x:comment ref="E16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中国太保_年报_2025.pdf，PDF 第44页（报告印刷页码27），产险业务经营指标</x:t>
        </x:r>
      </x:text>
    </x:comment>
    <x:comment ref="F16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中国太保_年报_2025.pdf，PDF 第44页（报告印刷页码27），产险业务经营指标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;[Red](0.00);-"/>
    <x:numFmt numFmtId="202" formatCode="0.0%;[Red](0.0%);-"/>
    <x:numFmt numFmtId="203" formatCode="0.0000;[Red](0.0000);-"/>
    <x:numFmt numFmtId="204" formatCode="0.000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20"/>
      <x:color rgb="FF008000"/>
      <x:name val="Carlito"/>
    </x:font>
    <x:font>
      <x:b/>
      <x:sz val="14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B458"/>
      </x:left>
      <x:top style="thin">
        <x:color rgb="FFC9B458"/>
      </x:top>
      <x:bottom style="thin">
        <x:color rgb="FFC9B458"/>
      </x:bottom>
    </x:border>
    <x:border>
      <x:top style="thin">
        <x:color rgb="FFC9B458"/>
      </x:top>
      <x:bottom style="thin">
        <x:color rgb="FFC9B458"/>
      </x:bottom>
    </x:border>
    <x:border>
      <x:right style="thin">
        <x:color rgb="FFC9B458"/>
      </x:right>
      <x:top style="thin">
        <x:color rgb="FFC9B458"/>
      </x:top>
      <x:bottom style="thin">
        <x:color rgb="FFC9B458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4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2" xfId="0" applyNumberFormat="1" applyFont="1" applyFill="1" applyBorder="1"/>
    <x:xf numFmtId="201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203" fontId="0" fillId="0" borderId="2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2" xfId="0" applyNumberFormat="1" applyFont="1" applyFill="1" applyBorder="1"/>
    <x:xf numFmtId="204" fontId="0" fillId="0" borderId="2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834098b0e4c03" /><Relationship Type="http://schemas.openxmlformats.org/officeDocument/2006/relationships/theme" Target="/xl/theme/theme1.xml" Id="R1489a473554244f8" /><Relationship Type="http://schemas.openxmlformats.org/officeDocument/2006/relationships/sharedStrings" Target="/xl/sharedStrings.xml" Id="R80b43176c5cd4cc3" /><Relationship Type="http://schemas.openxmlformats.org/officeDocument/2006/relationships/worksheet" Target="/xl/worksheets/sheet1.xml" Id="Rfdd699f2b86d43bc" /><Relationship Type="http://schemas.openxmlformats.org/officeDocument/2006/relationships/worksheet" Target="/xl/worksheets/sheet2.xml" Id="Re5911033f9404c38" /><Relationship Type="http://schemas.openxmlformats.org/officeDocument/2006/relationships/worksheet" Target="/xl/worksheets/sheet3.xml" Id="R7474a17911614efb" /><Relationship Type="http://schemas.openxmlformats.org/officeDocument/2006/relationships/worksheet" Target="/xl/worksheets/sheet4.xml" Id="Rae348b8a5b30434d" /><Relationship Type="http://schemas.openxmlformats.org/officeDocument/2006/relationships/worksheet" Target="/xl/worksheets/sheet5.xml" Id="R7dd6346c326742e6" /><Relationship Type="http://schemas.openxmlformats.org/officeDocument/2006/relationships/worksheet" Target="/xl/worksheets/sheet6.xml" Id="Rbd0c100e0e2942f8" /><Relationship Type="http://schemas.openxmlformats.org/officeDocument/2006/relationships/worksheet" Target="/xl/worksheets/sheet7.xml" Id="Rbe5db53fbe524161" /><Relationship Type="http://schemas.microsoft.com/office/2017/10/relationships/person" Target="/xl/persons/person.xml" Id="R8a597f4688604f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d9f03a401444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COR趋势：平安由落后转为领先（%）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平安产险</c:v>
          </c:tx>
          <c:marker>
            <c:symbol val="none"/>
          </c:marker>
          <c:cat>
            <c:strRef>
              <c:f>'Summary'!$H$14:$H$17</c:f>
              <c:strCache>
                <c:ptCount val="0"/>
              </c:strCache>
            </c:strRef>
          </c:cat>
          <c:val>
            <c:numRef>
              <c:f>'Summary'!$I$14:$I$17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人保财险</c:v>
          </c:tx>
          <c:marker>
            <c:symbol val="none"/>
          </c:marker>
          <c:cat>
            <c:strRef>
              <c:f>'Summary'!$H$14:$H$17</c:f>
              <c:strCache>
                <c:ptCount val="0"/>
              </c:strCache>
            </c:strRef>
          </c:cat>
          <c:val>
            <c:numRef>
              <c:f>'Summary'!$J$14:$J$17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太保产险</c:v>
          </c:tx>
          <c:marker>
            <c:symbol val="none"/>
          </c:marker>
          <c:cat>
            <c:strRef>
              <c:f>'Summary'!$H$14:$H$17</c:f>
              <c:strCache>
                <c:ptCount val="0"/>
              </c:strCache>
            </c:strRef>
          </c:cat>
          <c:val>
            <c:numRef>
              <c:f>'Summary'!$K$14:$K$17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015"/>
          <c:min val="0.9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18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d9f03a401444f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4797976-6D14-4DAE-841E-BBBF39E2894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5" dT="2026-08-15T10:32:49.261" personId="{F4797976-6D14-4DAE-841E-BBBF39E28949}" id="{37C71CCC-B21C-A8E9-6CF6-390524BDA772}">
    <xltc:text>Source: 中国平安_年报_2023.pdf，PDF 第27页（报告印刷页码23），经营业绩/产险业务分析表</xltc:text>
  </xltc:threadedComment>
  <xltc:threadedComment ref="E5" dT="2026-08-15T10:32:49.264" personId="{F4797976-6D14-4DAE-841E-BBBF39E28949}" id="{126EC906-8B21-AA65-E629-90EEAD73EF26}">
    <xltc:text>Source: 中国平安_年报_2023.pdf，PDF 第27页（报告印刷页码23），经营业绩/产险业务分析表</xltc:text>
  </xltc:threadedComment>
  <xltc:threadedComment ref="F5" dT="2026-08-15T10:32:49.264" personId="{F4797976-6D14-4DAE-841E-BBBF39E28949}" id="{A215AE89-DE42-F8F9-1BF2-9BF86EF6D60F}">
    <xltc:text>Source: 中国平安_年报_2023.pdf，PDF 第27页（报告印刷页码23），经营业绩/产险业务分析表</xltc:text>
  </xltc:threadedComment>
  <xltc:threadedComment ref="D6" dT="2026-08-15T10:32:49.264" personId="{F4797976-6D14-4DAE-841E-BBBF39E28949}" id="{C8368531-16AD-DE26-3772-AD7D4F178F47}">
    <xltc:text>Source: 中国平安_年报_2023.pdf，PDF 第27页（报告印刷页码23），经营业绩/产险业务分析表</xltc:text>
  </xltc:threadedComment>
  <xltc:threadedComment ref="E6" dT="2026-08-15T10:32:49.264" personId="{F4797976-6D14-4DAE-841E-BBBF39E28949}" id="{61B0B2EC-E022-5AB0-2D8B-D2269AD3E06F}">
    <xltc:text>Source: 中国平安_年报_2023.pdf，PDF 第27页（报告印刷页码23），经营业绩/产险业务分析表</xltc:text>
  </xltc:threadedComment>
  <xltc:threadedComment ref="F6" dT="2026-08-15T10:32:49.264" personId="{F4797976-6D14-4DAE-841E-BBBF39E28949}" id="{36EB7C83-6FAA-774E-520F-5343418A0ABF}">
    <xltc:text>Source: 中国平安_年报_2023.pdf，PDF 第27页（报告印刷页码23），经营业绩/产险业务分析表</xltc:text>
  </xltc:threadedComment>
  <xltc:threadedComment ref="D7" dT="2026-08-15T10:32:49.264" personId="{F4797976-6D14-4DAE-841E-BBBF39E28949}" id="{696974AF-29CC-5916-F9B9-D60BCBE4BFBC}">
    <xltc:text>Source: 中国平安_年报_2024.pdf，PDF 第46页（报告印刷页码42），经营业绩/产险业务分析表</xltc:text>
  </xltc:threadedComment>
  <xltc:threadedComment ref="E7" dT="2026-08-15T10:32:49.264" personId="{F4797976-6D14-4DAE-841E-BBBF39E28949}" id="{2F3568A9-5F90-9CB2-F712-20ED534BAB04}">
    <xltc:text>Source: 中国平安_年报_2024.pdf，PDF 第46页（报告印刷页码42），经营业绩/产险业务分析表</xltc:text>
  </xltc:threadedComment>
  <xltc:threadedComment ref="F7" dT="2026-08-15T10:32:49.264" personId="{F4797976-6D14-4DAE-841E-BBBF39E28949}" id="{79F31B38-CC7F-5B7A-8B20-1113597E6B77}">
    <xltc:text>Source: 中国平安_年报_2024.pdf，PDF 第46页（报告印刷页码42），经营业绩/产险业务分析表</xltc:text>
  </xltc:threadedComment>
  <xltc:threadedComment ref="D8" dT="2026-08-15T10:32:49.265" personId="{F4797976-6D14-4DAE-841E-BBBF39E28949}" id="{384EA27C-E444-F9AD-1D1B-443485E69B10}">
    <xltc:text>Source: 中国平安_年报_2025.pdf，PDF 第57页（报告印刷页码53），经营业绩/产险业务分析表</xltc:text>
  </xltc:threadedComment>
  <xltc:threadedComment ref="E8" dT="2026-08-15T10:32:49.265" personId="{F4797976-6D14-4DAE-841E-BBBF39E28949}" id="{543D21FF-6C30-ABAE-9C36-CDA1C028CFE3}">
    <xltc:text>Source: 中国平安_年报_2025.pdf，PDF 第57页（报告印刷页码53），经营业绩/产险业务分析表</xltc:text>
  </xltc:threadedComment>
  <xltc:threadedComment ref="F8" dT="2026-08-15T10:32:49.265" personId="{F4797976-6D14-4DAE-841E-BBBF39E28949}" id="{7DFAB2A5-4A7B-4910-7C20-AE6C5CAB2D45}">
    <xltc:text>Source: 中国平安_年报_2025.pdf，PDF 第57页（报告印刷页码53），经营业绩/产险业务分析表</xltc:text>
  </xltc:threadedComment>
  <xltc:threadedComment ref="D9" dT="2026-08-15T10:32:49.265" personId="{F4797976-6D14-4DAE-841E-BBBF39E28949}" id="{1A94D179-02D6-2F77-1B2A-74F099B230FC}">
    <xltc:text>Source: 人保财险_年报_2023.pdf，PDF 第13页（报告印刷页码11），承保业绩表</xltc:text>
  </xltc:threadedComment>
  <xltc:threadedComment ref="E9" dT="2026-08-15T10:32:49.265" personId="{F4797976-6D14-4DAE-841E-BBBF39E28949}" id="{09AF510B-2B14-D79F-F776-923F55ECAC78}">
    <xltc:text>Source: 人保财险_年报_2023.pdf，PDF 第13页（报告印刷页码11），承保业绩表</xltc:text>
  </xltc:threadedComment>
  <xltc:threadedComment ref="F9" dT="2026-08-15T10:32:49.265" personId="{F4797976-6D14-4DAE-841E-BBBF39E28949}" id="{9F631D8B-77D2-4907-66B4-5C15C55F44C9}">
    <xltc:text>Source: 人保财险_年报_2023.pdf，PDF 第13页（报告印刷页码11），承保业绩表</xltc:text>
  </xltc:threadedComment>
  <xltc:threadedComment ref="D10" dT="2026-08-15T10:32:49.265" personId="{F4797976-6D14-4DAE-841E-BBBF39E28949}" id="{0D5A8739-A837-A79E-EAB1-E951E35B249F}">
    <xltc:text>Source: 人保财险_年报_2023.pdf，PDF 第13页（报告印刷页码11），承保业绩表</xltc:text>
  </xltc:threadedComment>
  <xltc:threadedComment ref="E10" dT="2026-08-15T10:32:49.265" personId="{F4797976-6D14-4DAE-841E-BBBF39E28949}" id="{B47B9318-7BCF-0658-85EB-89B214640AE4}">
    <xltc:text>Source: 人保财险_年报_2023.pdf，PDF 第13页（报告印刷页码11），承保业绩表</xltc:text>
  </xltc:threadedComment>
  <xltc:threadedComment ref="F10" dT="2026-08-15T10:32:49.265" personId="{F4797976-6D14-4DAE-841E-BBBF39E28949}" id="{371E0FEA-C931-BEB9-5027-55910D46B664}">
    <xltc:text>Source: 人保财险_年报_2023.pdf，PDF 第13页（报告印刷页码11），承保业绩表</xltc:text>
  </xltc:threadedComment>
  <xltc:threadedComment ref="D11" dT="2026-08-15T10:32:49.265" personId="{F4797976-6D14-4DAE-841E-BBBF39E28949}" id="{E448E4AE-BA71-FDED-973E-753C7E4AB3FB}">
    <xltc:text>Source: 人保财险_年报_2024.pdf，PDF 第14页（报告印刷页码12），承保业绩表</xltc:text>
  </xltc:threadedComment>
  <xltc:threadedComment ref="E11" dT="2026-08-15T10:32:49.265" personId="{F4797976-6D14-4DAE-841E-BBBF39E28949}" id="{5221AAC9-B09A-07B6-3BEC-4654E80E6C26}">
    <xltc:text>Source: 人保财险_年报_2024.pdf，PDF 第14页（报告印刷页码12），承保业绩表</xltc:text>
  </xltc:threadedComment>
  <xltc:threadedComment ref="F11" dT="2026-08-15T10:32:49.265" personId="{F4797976-6D14-4DAE-841E-BBBF39E28949}" id="{9C4B2AD0-5C25-81DB-5E72-CE74224BC5C7}">
    <xltc:text>Source: 人保财险_年报_2024.pdf，PDF 第14页（报告印刷页码12），承保业绩表</xltc:text>
  </xltc:threadedComment>
  <xltc:threadedComment ref="D12" dT="2026-08-15T10:32:49.266" personId="{F4797976-6D14-4DAE-841E-BBBF39E28949}" id="{C0DEDAB7-62BB-FF7F-6904-9DC402A88629}">
    <xltc:text>Source: 人保财险_年报_2025.pdf，PDF 第14页（报告印刷页码12），承保业绩表</xltc:text>
  </xltc:threadedComment>
  <xltc:threadedComment ref="E12" dT="2026-08-15T10:32:49.266" personId="{F4797976-6D14-4DAE-841E-BBBF39E28949}" id="{F208CE81-07FC-3F47-F4C6-D68C7767EB77}">
    <xltc:text>Source: 人保财险_年报_2025.pdf，PDF 第14页（报告印刷页码12），承保业绩表</xltc:text>
  </xltc:threadedComment>
  <xltc:threadedComment ref="F12" dT="2026-08-15T10:32:49.266" personId="{F4797976-6D14-4DAE-841E-BBBF39E28949}" id="{D75BD765-D1C0-009E-2D9A-4646D2FE4515}">
    <xltc:text>Source: 人保财险_年报_2025.pdf，PDF 第14页（报告印刷页码12），承保业绩表</xltc:text>
  </xltc:threadedComment>
  <xltc:threadedComment ref="D13" dT="2026-08-15T10:32:49.268" personId="{F4797976-6D14-4DAE-841E-BBBF39E28949}" id="{6FA6F79C-4005-9F40-7C04-560821F87409}">
    <xltc:text>Source: 中国太保_年报_2023.pdf，PDF 第33页（报告印刷页码16），产险业务经营指标</xltc:text>
  </xltc:threadedComment>
  <xltc:threadedComment ref="E13" dT="2026-08-15T10:32:49.268" personId="{F4797976-6D14-4DAE-841E-BBBF39E28949}" id="{BC55BC35-0D55-A73E-5CD5-F3EA124964C3}">
    <xltc:text>Source: 中国太保_年报_2023.pdf，PDF 第33页（报告印刷页码16），产险业务经营指标</xltc:text>
  </xltc:threadedComment>
  <xltc:threadedComment ref="F13" dT="2026-08-15T10:32:49.268" personId="{F4797976-6D14-4DAE-841E-BBBF39E28949}" id="{8B558652-30AD-B868-3232-C0C83268884C}">
    <xltc:text>Source: 中国太保_年报_2023.pdf，PDF 第33页（报告印刷页码16），产险业务经营指标</xltc:text>
  </xltc:threadedComment>
  <xltc:threadedComment ref="D14" dT="2026-08-15T10:32:49.269" personId="{F4797976-6D14-4DAE-841E-BBBF39E28949}" id="{FEF84155-1E12-272C-D3EC-58EE91C5D916}">
    <xltc:text>Source: 中国太保_年报_2023.pdf，PDF 第33页（报告印刷页码16），产险业务经营指标</xltc:text>
  </xltc:threadedComment>
  <xltc:threadedComment ref="E14" dT="2026-08-15T10:32:49.269" personId="{F4797976-6D14-4DAE-841E-BBBF39E28949}" id="{FAE16E82-16F2-F0AE-ADAB-1BED5C7AF711}">
    <xltc:text>Source: 中国太保_年报_2023.pdf，PDF 第33页（报告印刷页码16），产险业务经营指标</xltc:text>
  </xltc:threadedComment>
  <xltc:threadedComment ref="F14" dT="2026-08-15T10:32:49.269" personId="{F4797976-6D14-4DAE-841E-BBBF39E28949}" id="{2A747B24-1F13-9DFE-42ED-41F84288644F}">
    <xltc:text>Source: 中国太保_年报_2023.pdf，PDF 第33页（报告印刷页码16），产险业务经营指标</xltc:text>
  </xltc:threadedComment>
  <xltc:threadedComment ref="D15" dT="2026-08-15T10:32:49.269" personId="{F4797976-6D14-4DAE-841E-BBBF39E28949}" id="{574F8D47-26A4-80FA-14DB-18FB99ED45BA}">
    <xltc:text>Source: 中国太保_年报_2024.pdf，PDF 第46页（报告印刷页码27），产险业务经营指标</xltc:text>
  </xltc:threadedComment>
  <xltc:threadedComment ref="E15" dT="2026-08-15T10:32:49.269" personId="{F4797976-6D14-4DAE-841E-BBBF39E28949}" id="{84F3E1B2-1885-3EE9-26FF-0068F2F3A150}">
    <xltc:text>Source: 中国太保_年报_2024.pdf，PDF 第46页（报告印刷页码27），产险业务经营指标</xltc:text>
  </xltc:threadedComment>
  <xltc:threadedComment ref="F15" dT="2026-08-15T10:32:49.269" personId="{F4797976-6D14-4DAE-841E-BBBF39E28949}" id="{00290735-96DA-CCDD-FD2D-2C64F13E1720}">
    <xltc:text>Source: 中国太保_年报_2024.pdf，PDF 第46页（报告印刷页码27），产险业务经营指标</xltc:text>
  </xltc:threadedComment>
  <xltc:threadedComment ref="D16" dT="2026-08-15T10:32:49.269" personId="{F4797976-6D14-4DAE-841E-BBBF39E28949}" id="{0CFE0BF0-79D9-DEEA-0E5B-F5C9A7A5BA31}">
    <xltc:text>Source: 中国太保_年报_2025.pdf，PDF 第44页（报告印刷页码27），产险业务经营指标</xltc:text>
  </xltc:threadedComment>
  <xltc:threadedComment ref="E16" dT="2026-08-15T10:32:49.269" personId="{F4797976-6D14-4DAE-841E-BBBF39E28949}" id="{2AF0BFFC-6A25-AA03-4401-4DF35DC38FA5}">
    <xltc:text>Source: 中国太保_年报_2025.pdf，PDF 第44页（报告印刷页码27），产险业务经营指标</xltc:text>
  </xltc:threadedComment>
  <xltc:threadedComment ref="F16" dT="2026-08-15T10:32:49.269" personId="{F4797976-6D14-4DAE-841E-BBBF39E28949}" id="{F948F6C8-98F4-C04C-8F9C-98071F113FBA}">
    <xltc:text>Source: 中国太保_年报_2025.pdf，PDF 第44页（报告印刷页码27），产险业务经营指标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7e83e7f30543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b19b9cf02004fa7" /><Relationship Type="http://schemas.openxmlformats.org/officeDocument/2006/relationships/vmlDrawing" Target="/xl/drawings/vmldrawing.vml" Id="R9793e12d20864e29" /><Relationship Type="http://schemas.microsoft.com/office/2017/10/relationships/threadedComment" Target="/xl/threadedcomments/threadedcomment.xml" Id="Ra35908cf56d94e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1.600000381469727" hidden="0" customHeight="1">
      <x:c r="A1" s="3" t="str">
        <x:v>阶段3-5｜同业对标与阶段3汇总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6" t="str">
        <x:v>三家公司IFRS 17可比序列；重点观察2023–2025，2022R仅作重述比较期扩展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42" hidden="0" customHeight="1">
      <x:c r="A4" s="57" t="str">
        <x:v>结论：平安2025年COR领先两家同业0.7pp，但领先来源因对手而异；最新一年80%的平安COR改善与同业均值方向一致，超额改善仅0.3pp。</x:v>
      </x:c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  <x:c r="M4" s="58"/>
      <x:c r="N4" s="59"/>
    </x:row>
    <x:row r="5"/>
    <x:row r="6"/>
    <x:row r="7" ht="15" hidden="0" customHeight="1">
      <x:c r="A7" s="11" t="str">
        <x:v>2025平安COR</x:v>
      </x:c>
      <x:c r="B7" s="11"/>
      <x:c r="C7" s="11"/>
      <x:c r="D7" s="11" t="str">
        <x:v>较人保/太保优势</x:v>
      </x:c>
      <x:c r="E7" s="11"/>
      <x:c r="F7" s="11"/>
      <x:c r="G7" s="11" t="str">
        <x:v>2023→2025平安改善</x:v>
      </x:c>
      <x:c r="H7" s="11"/>
      <x:c r="I7" s="11"/>
      <x:c r="J7" s="11" t="str">
        <x:v>2024→2025超额改善</x:v>
      </x:c>
      <x:c r="K7" s="11"/>
      <x:c r="L7" s="11"/>
    </x:row>
    <x:row r="8">
      <x:c r="A8" s="63" t="n">
        <x:f>'Inputs'!D8</x:f>
        <x:v>0.968</x:v>
      </x:c>
      <x:c r="B8" s="63"/>
      <x:c r="C8" s="63"/>
      <x:c r="D8" s="63" t="n">
        <x:f>-'Gap_2025'!E5/100</x:f>
        <x:v>0.007000000000000006</x:v>
      </x:c>
      <x:c r="E8" s="63"/>
      <x:c r="F8" s="63"/>
      <x:c r="G8" s="63" t="n">
        <x:f>'Annual_Change'!C14/100</x:f>
        <x:v>0.039000000000000146</x:v>
      </x:c>
      <x:c r="H8" s="63"/>
      <x:c r="I8" s="63"/>
      <x:c r="J8" s="63" t="n">
        <x:f>'Annual_Change'!I11/100</x:f>
        <x:v>0.0030000000000000027</x:v>
      </x:c>
      <x:c r="K8" s="63"/>
      <x:c r="L8" s="63"/>
    </x:row>
    <x:row r="9">
      <x:c r="A9" s="63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</x:row>
    <x:row r="10">
      <x:c r="A10" s="63"/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</x:row>
    <x:row r="11"/>
    <x:row r="12"/>
    <x:row r="13" ht="15" hidden="0" customHeight="1">
      <x:c r="A13" s="14" t="str">
        <x:v>指标</x:v>
      </x:c>
      <x:c r="B13" s="14" t="str">
        <x:v>平安改善</x:v>
      </x:c>
      <x:c r="C13" s="14" t="str">
        <x:v>人保改善</x:v>
      </x:c>
      <x:c r="D13" s="14" t="str">
        <x:v>太保改善</x:v>
      </x:c>
      <x:c r="E13" s="14" t="str">
        <x:v>同业均值</x:v>
      </x:c>
      <x:c r="F13" s="14" t="str">
        <x:v>平安超额</x:v>
      </x:c>
      <x:c r="H13" s="11" t="str">
        <x:v>期间</x:v>
      </x:c>
      <x:c r="I13" s="11" t="str">
        <x:v>平安产险</x:v>
      </x:c>
      <x:c r="J13" s="11" t="str">
        <x:v>人保财险</x:v>
      </x:c>
      <x:c r="K13" s="11" t="str">
        <x:v>太保产险</x:v>
      </x:c>
    </x:row>
    <x:row r="14" ht="15" hidden="0" customHeight="1">
      <x:c r="A14" s="18" t="str">
        <x:v>综合成本率</x:v>
      </x:c>
      <x:c r="B14" s="34" t="n">
        <x:f>'Annual_Change'!C14</x:f>
        <x:v>3.9000000000000146</x:v>
      </x:c>
      <x:c r="C14" s="34" t="n">
        <x:f>'Annual_Change'!D14</x:f>
        <x:v>0.30000000000000027</x:v>
      </x:c>
      <x:c r="D14" s="34" t="n">
        <x:f>'Annual_Change'!E14</x:f>
        <x:v>0.20000000000000018</x:v>
      </x:c>
      <x:c r="E14" s="34" t="n">
        <x:f>'Annual_Change'!F14</x:f>
        <x:v>0.2500000000000002</x:v>
      </x:c>
      <x:c r="F14" s="34" t="n">
        <x:f>'Annual_Change'!I14</x:f>
        <x:v>3.6500000000000146</x:v>
      </x:c>
      <x:c r="H14" t="str">
        <x:v>2022R</x:v>
      </x:c>
      <x:c r="I14" s="36" t="n">
        <x:f>'Inputs'!D5</x:f>
        <x:v>0.996</x:v>
      </x:c>
      <x:c r="J14" s="36" t="n">
        <x:f>'Inputs'!D9</x:f>
        <x:v>0.966</x:v>
      </x:c>
      <x:c r="K14" s="36" t="n">
        <x:f>'Inputs'!D13</x:f>
        <x:v>0.9690000000000001</x:v>
      </x:c>
    </x:row>
    <x:row r="15" ht="15" hidden="0" customHeight="1">
      <x:c r="A15" s="18" t="str">
        <x:v>赔付率</x:v>
      </x:c>
      <x:c r="B15" s="34" t="n">
        <x:f>'Annual_Change'!C15</x:f>
        <x:v>1.0999999999999899</x:v>
      </x:c>
      <x:c r="C15" s="34" t="n">
        <x:f>'Annual_Change'!D15</x:f>
        <x:v>-3.300000000000014</x:v>
      </x:c>
      <x:c r="D15" s="34" t="n">
        <x:f>'Annual_Change'!E15</x:f>
        <x:v>-1.3000000000000123</x:v>
      </x:c>
      <x:c r="E15" s="34" t="n">
        <x:f>'Annual_Change'!F15</x:f>
        <x:v>-2.300000000000013</x:v>
      </x:c>
      <x:c r="F15" s="34" t="n">
        <x:f>'Annual_Change'!I15</x:f>
        <x:v>3.400000000000003</x:v>
      </x:c>
      <x:c r="H15" t="str">
        <x:v>2023</x:v>
      </x:c>
      <x:c r="I15" s="36" t="n">
        <x:f>'Inputs'!D6</x:f>
        <x:v>1.0070000000000001</x:v>
      </x:c>
      <x:c r="J15" s="36" t="n">
        <x:f>'Inputs'!D10</x:f>
        <x:v>0.978</x:v>
      </x:c>
      <x:c r="K15" s="36" t="n">
        <x:f>'Inputs'!D14</x:f>
        <x:v>0.977</x:v>
      </x:c>
    </x:row>
    <x:row r="16" ht="15" hidden="0" customHeight="1">
      <x:c r="A16" s="18" t="str">
        <x:v>费用率</x:v>
      </x:c>
      <x:c r="B16" s="34" t="n">
        <x:f>'Annual_Change'!C16</x:f>
        <x:v>2.799999999999997</x:v>
      </x:c>
      <x:c r="C16" s="34" t="n">
        <x:f>'Annual_Change'!D16</x:f>
        <x:v>3.6000000000000005</x:v>
      </x:c>
      <x:c r="D16" s="34" t="n">
        <x:f>'Annual_Change'!E16</x:f>
        <x:v>1.5000000000000013</x:v>
      </x:c>
      <x:c r="E16" s="34" t="n">
        <x:f>'Annual_Change'!F16</x:f>
        <x:v>2.5500000000000007</x:v>
      </x:c>
      <x:c r="F16" s="34" t="n">
        <x:f>'Annual_Change'!I16</x:f>
        <x:v>0.24999999999999645</x:v>
      </x:c>
      <x:c r="H16" t="str">
        <x:v>2024</x:v>
      </x:c>
      <x:c r="I16" s="36" t="n">
        <x:f>'Inputs'!D7</x:f>
        <x:v>0.983</x:v>
      </x:c>
      <x:c r="J16" s="36" t="n">
        <x:f>'Inputs'!D11</x:f>
        <x:v>0.988</x:v>
      </x:c>
      <x:c r="K16" s="36" t="n">
        <x:f>'Inputs'!D15</x:f>
        <x:v>0.986</x:v>
      </x:c>
    </x:row>
    <x:row r="17" ht="15" hidden="0" customHeight="1">
      <x:c r="H17" t="str">
        <x:v>2025</x:v>
      </x:c>
      <x:c r="I17" s="36" t="n">
        <x:f>'Inputs'!D8</x:f>
        <x:v>0.968</x:v>
      </x:c>
      <x:c r="J17" s="36" t="n">
        <x:f>'Inputs'!D12</x:f>
        <x:v>0.975</x:v>
      </x:c>
      <x:c r="K17" s="36" t="n">
        <x:f>'Inputs'!D16</x:f>
        <x:v>0.975</x:v>
      </x:c>
    </x:row>
    <x:row r="18"/>
    <x:row r="19" ht="15" hidden="0" customHeight="1">
      <x:c r="A19" s="14" t="str">
        <x:v>期间</x:v>
      </x:c>
      <x:c r="B19" s="14" t="str">
        <x:v>平安COR改善</x:v>
      </x:c>
      <x:c r="C19" s="14" t="str">
        <x:v>人保COR改善</x:v>
      </x:c>
      <x:c r="D19" s="14" t="str">
        <x:v>太保COR改善</x:v>
      </x:c>
      <x:c r="E19" s="14" t="str">
        <x:v>同业均值</x:v>
      </x:c>
      <x:c r="F19" s="14" t="str">
        <x:v>平安超额</x:v>
      </x:c>
    </x:row>
    <x:row r="20" ht="15" hidden="0" customHeight="1">
      <x:c r="A20" s="18" t="str">
        <x:v>2022R→2023</x:v>
      </x:c>
      <x:c r="B20" s="34" t="n">
        <x:f>'Annual_Change'!C5</x:f>
        <x:v>-1.100000000000012</x:v>
      </x:c>
      <x:c r="C20" s="34" t="n">
        <x:f>'Annual_Change'!D5</x:f>
        <x:v>-1.200000000000001</x:v>
      </x:c>
      <x:c r="D20" s="34" t="n">
        <x:f>'Annual_Change'!E5</x:f>
        <x:v>-0.7999999999999896</x:v>
      </x:c>
      <x:c r="E20" s="34" t="n">
        <x:f>'Annual_Change'!F5</x:f>
        <x:v>-0.9999999999999953</x:v>
      </x:c>
      <x:c r="F20" s="34" t="n">
        <x:f>'Annual_Change'!I5</x:f>
        <x:v>-0.10000000000001674</x:v>
      </x:c>
    </x:row>
    <x:row r="21" ht="15" hidden="0" customHeight="1">
      <x:c r="A21" s="18" t="str">
        <x:v>2023→2024</x:v>
      </x:c>
      <x:c r="B21" s="34" t="n">
        <x:f>'Annual_Change'!C8</x:f>
        <x:v>2.4000000000000132</x:v>
      </x:c>
      <x:c r="C21" s="34" t="n">
        <x:f>'Annual_Change'!D8</x:f>
        <x:v>-1.0000000000000009</x:v>
      </x:c>
      <x:c r="D21" s="34" t="n">
        <x:f>'Annual_Change'!E8</x:f>
        <x:v>-0.9000000000000008</x:v>
      </x:c>
      <x:c r="E21" s="34" t="n">
        <x:f>'Annual_Change'!F8</x:f>
        <x:v>-0.9500000000000008</x:v>
      </x:c>
      <x:c r="F21" s="34" t="n">
        <x:f>'Annual_Change'!I8</x:f>
        <x:v>3.350000000000014</x:v>
      </x:c>
    </x:row>
    <x:row r="22" ht="15" hidden="0" customHeight="1">
      <x:c r="A22" s="18" t="str">
        <x:v>2024→2025</x:v>
      </x:c>
      <x:c r="B22" s="34" t="n">
        <x:f>'Annual_Change'!C11</x:f>
        <x:v>1.5000000000000013</x:v>
      </x:c>
      <x:c r="C22" s="34" t="n">
        <x:f>'Annual_Change'!D11</x:f>
        <x:v>1.3000000000000012</x:v>
      </x:c>
      <x:c r="D22" s="34" t="n">
        <x:f>'Annual_Change'!E11</x:f>
        <x:v>1.100000000000001</x:v>
      </x:c>
      <x:c r="E22" s="34" t="n">
        <x:f>'Annual_Change'!F11</x:f>
        <x:v>1.200000000000001</x:v>
      </x:c>
      <x:c r="F22" s="34" t="n">
        <x:f>'Annual_Change'!I11</x:f>
        <x:v>0.30000000000000027</x:v>
      </x:c>
    </x:row>
    <x:row r="23"/>
    <x:row r="24"/>
    <x:row r="25" ht="15" hidden="0" customHeight="1">
      <x:c r="A25" s="11" t="str">
        <x:v>管理含义（阶段4的输入，不在本阶段设阈值）</x:v>
      </x:c>
      <x:c r="B25" s="11"/>
      <x:c r="C25" s="11"/>
      <x:c r="D25" s="11"/>
      <x:c r="E25" s="11"/>
      <x:c r="F25" s="11"/>
    </x:row>
    <x:row r="26" ht="34" hidden="0" customHeight="1">
      <x:c r="A26" s="52" t="str">
        <x:v>同业共同因素：费用率同步下降，应把同业费用率变化作为外部环境代理。</x:v>
      </x:c>
      <x:c r="B26" s="52"/>
      <x:c r="C26" s="52"/>
      <x:c r="D26" s="52"/>
      <x:c r="E26" s="52"/>
      <x:c r="F26" s="52"/>
    </x:row>
    <x:row r="27" ht="34" hidden="0" customHeight="1">
      <x:c r="A27" s="52" t="str">
        <x:v>自身差异：平安相对同业的超额改善主要体现在赔付端，但包含保证险出清与结构变化，不能全部定义为能力提升。</x:v>
      </x:c>
      <x:c r="B27" s="52"/>
      <x:c r="C27" s="52"/>
      <x:c r="D27" s="52"/>
      <x:c r="E27" s="52"/>
      <x:c r="F27" s="52"/>
    </x:row>
    <x:row r="28" ht="34" hidden="0" customHeight="1">
      <x:c r="A28" s="52" t="str">
        <x:v>最新边际：2024→2025平安COR改善1.5pp，同业均值1.2pp，超额仅0.3pp，改善速度已明显趋同。</x:v>
      </x:c>
      <x:c r="B28" s="52"/>
      <x:c r="C28" s="52"/>
      <x:c r="D28" s="52"/>
      <x:c r="E28" s="52"/>
      <x:c r="F28" s="52"/>
    </x:row>
    <x:row r="29" ht="34" hidden="0" customHeight="1">
      <x:c r="A29" s="52" t="str">
        <x:v>脆弱点：核心非车COR升破100%，新能源占比提升仍对车险形成结构性逆风。</x:v>
      </x:c>
      <x:c r="B29" s="52"/>
      <x:c r="C29" s="52"/>
      <x:c r="D29" s="52"/>
      <x:c r="E29" s="52"/>
      <x:c r="F29" s="52"/>
    </x:row>
    <x:row r="30" ht="34" hidden="0" customHeight="1">
      <x:c r="A30" s="52" t="str">
        <x:v>监控建议：阶段4将COR差、赔付率差、费用率差、保证险贡献、核心非车COR和新能源结构拖累并列监控。</x:v>
      </x:c>
      <x:c r="B30" s="52"/>
      <x:c r="C30" s="52"/>
      <x:c r="D30" s="52"/>
      <x:c r="E30" s="52"/>
      <x:c r="F30" s="52"/>
    </x:row>
  </x:sheetData>
  <x:mergeCells>
    <x:mergeCell ref="A1:N1"/>
    <x:mergeCell ref="A2:N2"/>
    <x:mergeCell ref="A4:N4"/>
    <x:mergeCell ref="A7:C7"/>
    <x:mergeCell ref="D7:F7"/>
    <x:mergeCell ref="G7:I7"/>
    <x:mergeCell ref="J7:L7"/>
    <x:mergeCell ref="A8:C10"/>
    <x:mergeCell ref="D8:F10"/>
    <x:mergeCell ref="G8:I10"/>
    <x:mergeCell ref="J8:L10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  <x:drawing xmlns:r="http://schemas.openxmlformats.org/officeDocument/2006/relationships" r:id="R0b7e83e7f30543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42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3" hidden="0" customWidth="1"/>
  </x:cols>
  <x:sheetData>
    <x:row r="1" ht="21.600000381469727" hidden="0" customHeight="1">
      <x:c r="A1" s="3" t="str">
        <x:v>三家公司年度承保指标输入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2022R为2023年报重述比较期，可接入2023–2025；旧准则原报2022不接入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4" t="str">
        <x:v>公司</x:v>
      </x:c>
      <x:c r="B4" s="14" t="str">
        <x:v>期间</x:v>
      </x:c>
      <x:c r="C4" s="14" t="str">
        <x:v>会计口径</x:v>
      </x:c>
      <x:c r="D4" s="14" t="str">
        <x:v>综合成本率</x:v>
      </x:c>
      <x:c r="E4" s="14" t="str">
        <x:v>赔付率</x:v>
      </x:c>
      <x:c r="F4" s="14" t="str">
        <x:v>费用率</x:v>
      </x:c>
      <x:c r="G4" s="14" t="str">
        <x:v>费用率状态</x:v>
      </x:c>
      <x:c r="H4" s="14" t="str">
        <x:v>来源ID</x:v>
      </x:c>
    </x:row>
    <x:row r="5" ht="15" hidden="0" customHeight="1">
      <x:c r="A5" s="18" t="str">
        <x:v>平安产险</x:v>
      </x:c>
      <x:c r="B5" s="18" t="str">
        <x:v>2022R</x:v>
      </x:c>
      <x:c r="C5" s="18" t="str">
        <x:v>IFRS 17重述比较期；IFRS 9已先采用并含分类叠加调整</x:v>
      </x:c>
      <x:c r="D5" s="19" t="n">
        <x:v>0.996</x:v>
      </x:c>
      <x:c r="E5" s="19" t="n">
        <x:v>0.713</x:v>
      </x:c>
      <x:c r="F5" s="19" t="n">
        <x:v>0.28300000000000003</x:v>
      </x:c>
      <x:c r="G5" s="18" t="str">
        <x:v>直接披露</x:v>
      </x:c>
      <x:c r="H5" s="18" t="str">
        <x:v>PA23</x:v>
      </x:c>
    </x:row>
    <x:row r="6" ht="15" hidden="0" customHeight="1">
      <x:c r="A6" s="18" t="str">
        <x:v>平安产险</x:v>
      </x:c>
      <x:c r="B6" s="18" t="str">
        <x:v>2023</x:v>
      </x:c>
      <x:c r="C6" s="18" t="str">
        <x:v>IFRS 17</x:v>
      </x:c>
      <x:c r="D6" s="19" t="n">
        <x:v>1.0070000000000001</x:v>
      </x:c>
      <x:c r="E6" s="19" t="n">
        <x:v>0.715</x:v>
      </x:c>
      <x:c r="F6" s="19" t="n">
        <x:v>0.292</x:v>
      </x:c>
      <x:c r="G6" s="18" t="str">
        <x:v>直接披露</x:v>
      </x:c>
      <x:c r="H6" s="18" t="str">
        <x:v>PA23</x:v>
      </x:c>
    </x:row>
    <x:row r="7" ht="15" hidden="0" customHeight="1">
      <x:c r="A7" s="18" t="str">
        <x:v>平安产险</x:v>
      </x:c>
      <x:c r="B7" s="18" t="str">
        <x:v>2024</x:v>
      </x:c>
      <x:c r="C7" s="18" t="str">
        <x:v>IFRS 17</x:v>
      </x:c>
      <x:c r="D7" s="19" t="n">
        <x:v>0.983</x:v>
      </x:c>
      <x:c r="E7" s="19" t="n">
        <x:v>0.71</x:v>
      </x:c>
      <x:c r="F7" s="19" t="n">
        <x:v>0.273</x:v>
      </x:c>
      <x:c r="G7" s="18" t="str">
        <x:v>直接披露</x:v>
      </x:c>
      <x:c r="H7" s="18" t="str">
        <x:v>PA24</x:v>
      </x:c>
    </x:row>
    <x:row r="8" ht="15" hidden="0" customHeight="1">
      <x:c r="A8" s="18" t="str">
        <x:v>平安产险</x:v>
      </x:c>
      <x:c r="B8" s="18" t="str">
        <x:v>2025</x:v>
      </x:c>
      <x:c r="C8" s="18" t="str">
        <x:v>IFRS 17</x:v>
      </x:c>
      <x:c r="D8" s="19" t="n">
        <x:v>0.968</x:v>
      </x:c>
      <x:c r="E8" s="19" t="n">
        <x:v>0.7040000000000001</x:v>
      </x:c>
      <x:c r="F8" s="19" t="n">
        <x:v>0.264</x:v>
      </x:c>
      <x:c r="G8" s="18" t="str">
        <x:v>直接披露</x:v>
      </x:c>
      <x:c r="H8" s="18" t="str">
        <x:v>PA25</x:v>
      </x:c>
    </x:row>
    <x:row r="9" ht="15" hidden="0" customHeight="1">
      <x:c r="A9" s="18" t="str">
        <x:v>人保财险</x:v>
      </x:c>
      <x:c r="B9" s="18" t="str">
        <x:v>2022R</x:v>
      </x:c>
      <x:c r="C9" s="18" t="str">
        <x:v>新准则重述比较期</x:v>
      </x:c>
      <x:c r="D9" s="19" t="n">
        <x:v>0.966</x:v>
      </x:c>
      <x:c r="E9" s="19" t="n">
        <x:v>0.6940000000000001</x:v>
      </x:c>
      <x:c r="F9" s="19" t="n">
        <x:v>0.272</x:v>
      </x:c>
      <x:c r="G9" s="18" t="str">
        <x:v>直接披露</x:v>
      </x:c>
      <x:c r="H9" s="18" t="str">
        <x:v>PI23</x:v>
      </x:c>
    </x:row>
    <x:row r="10" ht="15" hidden="0" customHeight="1">
      <x:c r="A10" s="18" t="str">
        <x:v>人保财险</x:v>
      </x:c>
      <x:c r="B10" s="18" t="str">
        <x:v>2023</x:v>
      </x:c>
      <x:c r="C10" s="18" t="str">
        <x:v>新准则</x:v>
      </x:c>
      <x:c r="D10" s="19" t="n">
        <x:v>0.978</x:v>
      </x:c>
      <x:c r="E10" s="19" t="n">
        <x:v>0.706</x:v>
      </x:c>
      <x:c r="F10" s="19" t="n">
        <x:v>0.272</x:v>
      </x:c>
      <x:c r="G10" s="18" t="str">
        <x:v>直接披露</x:v>
      </x:c>
      <x:c r="H10" s="18" t="str">
        <x:v>PI23</x:v>
      </x:c>
    </x:row>
    <x:row r="11" ht="15" hidden="0" customHeight="1">
      <x:c r="A11" s="18" t="str">
        <x:v>人保财险</x:v>
      </x:c>
      <x:c r="B11" s="18" t="str">
        <x:v>2024</x:v>
      </x:c>
      <x:c r="C11" s="18" t="str">
        <x:v>新准则</x:v>
      </x:c>
      <x:c r="D11" s="19" t="n">
        <x:v>0.988</x:v>
      </x:c>
      <x:c r="E11" s="19" t="n">
        <x:v>0.73</x:v>
      </x:c>
      <x:c r="F11" s="19" t="n">
        <x:v>0.258</x:v>
      </x:c>
      <x:c r="G11" s="18" t="str">
        <x:v>直接披露</x:v>
      </x:c>
      <x:c r="H11" s="18" t="str">
        <x:v>PI24</x:v>
      </x:c>
    </x:row>
    <x:row r="12" ht="15" hidden="0" customHeight="1">
      <x:c r="A12" s="18" t="str">
        <x:v>人保财险</x:v>
      </x:c>
      <x:c r="B12" s="18" t="str">
        <x:v>2025</x:v>
      </x:c>
      <x:c r="C12" s="18" t="str">
        <x:v>新准则</x:v>
      </x:c>
      <x:c r="D12" s="19" t="n">
        <x:v>0.975</x:v>
      </x:c>
      <x:c r="E12" s="19" t="n">
        <x:v>0.7390000000000001</x:v>
      </x:c>
      <x:c r="F12" s="19" t="n">
        <x:v>0.23600000000000002</x:v>
      </x:c>
      <x:c r="G12" s="18" t="str">
        <x:v>直接披露</x:v>
      </x:c>
      <x:c r="H12" s="18" t="str">
        <x:v>PI25</x:v>
      </x:c>
    </x:row>
    <x:row r="13" ht="15" hidden="0" customHeight="1">
      <x:c r="A13" s="18" t="str">
        <x:v>太保产险</x:v>
      </x:c>
      <x:c r="B13" s="18" t="str">
        <x:v>2022R</x:v>
      </x:c>
      <x:c r="C13" s="18" t="str">
        <x:v>新准则重述比较期</x:v>
      </x:c>
      <x:c r="D13" s="19" t="n">
        <x:v>0.9690000000000001</x:v>
      </x:c>
      <x:c r="E13" s="19" t="n">
        <x:v>0.68</x:v>
      </x:c>
      <x:c r="F13" s="20" t="n">
        <x:f>D13-E13</x:f>
        <x:v>0.28900000000000003</x:v>
      </x:c>
      <x:c r="G13" s="18" t="str">
        <x:v>推算：COR-赔付率</x:v>
      </x:c>
      <x:c r="H13" s="18" t="str">
        <x:v>CP23</x:v>
      </x:c>
    </x:row>
    <x:row r="14" ht="15" hidden="0" customHeight="1">
      <x:c r="A14" s="18" t="str">
        <x:v>太保产险</x:v>
      </x:c>
      <x:c r="B14" s="18" t="str">
        <x:v>2023</x:v>
      </x:c>
      <x:c r="C14" s="18" t="str">
        <x:v>新准则</x:v>
      </x:c>
      <x:c r="D14" s="19" t="n">
        <x:v>0.977</x:v>
      </x:c>
      <x:c r="E14" s="19" t="n">
        <x:v>0.691</x:v>
      </x:c>
      <x:c r="F14" s="20" t="n">
        <x:f>D14-E14</x:f>
        <x:v>0.28600000000000003</x:v>
      </x:c>
      <x:c r="G14" s="18" t="str">
        <x:v>推算：COR-赔付率</x:v>
      </x:c>
      <x:c r="H14" s="18" t="str">
        <x:v>CP23</x:v>
      </x:c>
    </x:row>
    <x:row r="15" ht="15" hidden="0" customHeight="1">
      <x:c r="A15" s="18" t="str">
        <x:v>太保产险</x:v>
      </x:c>
      <x:c r="B15" s="18" t="str">
        <x:v>2024</x:v>
      </x:c>
      <x:c r="C15" s="18" t="str">
        <x:v>新准则</x:v>
      </x:c>
      <x:c r="D15" s="19" t="n">
        <x:v>0.986</x:v>
      </x:c>
      <x:c r="E15" s="19" t="n">
        <x:v>0.708</x:v>
      </x:c>
      <x:c r="F15" s="19" t="n">
        <x:v>0.278</x:v>
      </x:c>
      <x:c r="G15" s="18" t="str">
        <x:v>直接披露</x:v>
      </x:c>
      <x:c r="H15" s="18" t="str">
        <x:v>CP24</x:v>
      </x:c>
    </x:row>
    <x:row r="16" ht="15" hidden="0" customHeight="1">
      <x:c r="A16" s="18" t="str">
        <x:v>太保产险</x:v>
      </x:c>
      <x:c r="B16" s="18" t="str">
        <x:v>2025</x:v>
      </x:c>
      <x:c r="C16" s="18" t="str">
        <x:v>新准则</x:v>
      </x:c>
      <x:c r="D16" s="19" t="n">
        <x:v>0.975</x:v>
      </x:c>
      <x:c r="E16" s="19" t="n">
        <x:v>0.7040000000000001</x:v>
      </x:c>
      <x:c r="F16" s="19" t="n">
        <x:v>0.271</x:v>
      </x:c>
      <x:c r="G16" s="18" t="str">
        <x:v>直接披露</x:v>
      </x:c>
      <x:c r="H16" s="18" t="str">
        <x:v>CP25</x:v>
      </x:c>
    </x:row>
    <x:row r="17"/>
    <x:row r="18"/>
    <x:row r="19" ht="48" hidden="0" customHeight="1">
      <x:c r="A19" s="25" t="str">
        <x:v>口径说明：2022R是按新保险合同准则重述的比较期，不是旧准则原报2022。太保2022R和2023费用率由综合成本率减赔付率推算，其余比率直接披露。</x:v>
      </x:c>
      <x:c r="B19" s="26"/>
      <x:c r="C19" s="26"/>
      <x:c r="D19" s="26"/>
      <x:c r="E19" s="26"/>
      <x:c r="F19" s="26"/>
      <x:c r="G19" s="26"/>
      <x:c r="H19" s="27"/>
    </x:row>
  </x:sheetData>
  <x:mergeCells>
    <x:mergeCell ref="A1:H1"/>
    <x:mergeCell ref="A2:H2"/>
    <x:mergeCell ref="A19:H19"/>
  </x:mergeCells>
  <x:pageMargins left="0.7" right="0.7" top="0.75" bottom="0.75" header="0.3" footer="0.3"/>
  <x:legacyDrawing xmlns:r="http://schemas.openxmlformats.org/officeDocument/2006/relationships" r:id="R9793e12d20864e2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</x:cols>
  <x:sheetData>
    <x:row r="1" ht="21.600000381469727" hidden="0" customHeight="1">
      <x:c r="A1" s="3" t="str">
        <x:v>同业年度变化与超额改善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6" t="str">
        <x:v>正数=比率下降/改善；同业均值仅作共同趋势代理，不是因果识别结果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/>
    <x:row r="4" ht="15" hidden="0" customHeight="1">
      <x:c r="A4" s="14" t="str">
        <x:v>期间</x:v>
      </x:c>
      <x:c r="B4" s="14" t="str">
        <x:v>指标</x:v>
      </x:c>
      <x:c r="C4" s="14" t="str">
        <x:v>平安改善(pp)</x:v>
      </x:c>
      <x:c r="D4" s="14" t="str">
        <x:v>人保改善(pp)</x:v>
      </x:c>
      <x:c r="E4" s="14" t="str">
        <x:v>太保改善(pp)</x:v>
      </x:c>
      <x:c r="F4" s="14" t="str">
        <x:v>同业均值(pp)</x:v>
      </x:c>
      <x:c r="G4" s="14" t="str">
        <x:v>同业下限(pp)</x:v>
      </x:c>
      <x:c r="H4" s="14" t="str">
        <x:v>同业上限(pp)</x:v>
      </x:c>
      <x:c r="I4" s="14" t="str">
        <x:v>平安超额(pp)</x:v>
      </x:c>
      <x:c r="J4" s="14" t="str">
        <x:v>同业均值/平安</x:v>
      </x:c>
      <x:c r="K4" s="14" t="str">
        <x:v>解释</x:v>
      </x:c>
    </x:row>
    <x:row r="5" ht="15" hidden="0" customHeight="1">
      <x:c r="A5" s="18" t="str">
        <x:v>2022R→2023</x:v>
      </x:c>
      <x:c r="B5" s="18" t="str">
        <x:v>综合成本率</x:v>
      </x:c>
      <x:c r="C5" s="34" t="n">
        <x:f>('Inputs'!D5-'Inputs'!D6)*100</x:f>
        <x:v>-1.100000000000012</x:v>
      </x:c>
      <x:c r="D5" s="34" t="n">
        <x:f>('Inputs'!D9-'Inputs'!D10)*100</x:f>
        <x:v>-1.200000000000001</x:v>
      </x:c>
      <x:c r="E5" s="34" t="n">
        <x:f>('Inputs'!D13-'Inputs'!D14)*100</x:f>
        <x:v>-0.7999999999999896</x:v>
      </x:c>
      <x:c r="F5" s="34" t="n">
        <x:f>AVERAGE(D5:E5)</x:f>
        <x:v>-0.9999999999999953</x:v>
      </x:c>
      <x:c r="G5" s="34" t="n">
        <x:f>MIN(D5:E5)</x:f>
        <x:v>-1.200000000000001</x:v>
      </x:c>
      <x:c r="H5" s="34" t="n">
        <x:f>MAX(D5:E5)</x:f>
        <x:v>-0.7999999999999896</x:v>
      </x:c>
      <x:c r="I5" s="34" t="n">
        <x:f>C5-F5</x:f>
        <x:v>-0.10000000000001674</x:v>
      </x:c>
      <x:c r="J5" s="35" t="str">
        <x:f>IF(AND(B5="综合成本率",C5&gt;0),F5/C5,"")</x:f>
      </x:c>
      <x:c r="K5" s="18" t="str">
        <x:v>整体结果</x:v>
      </x:c>
    </x:row>
    <x:row r="6" ht="15" hidden="0" customHeight="1">
      <x:c r="A6" s="18" t="str">
        <x:v>2022R→2023</x:v>
      </x:c>
      <x:c r="B6" s="18" t="str">
        <x:v>赔付率</x:v>
      </x:c>
      <x:c r="C6" s="34" t="n">
        <x:f>('Inputs'!E5-'Inputs'!E6)*100</x:f>
        <x:v>-0.20000000000000018</x:v>
      </x:c>
      <x:c r="D6" s="34" t="n">
        <x:f>('Inputs'!E9-'Inputs'!E10)*100</x:f>
        <x:v>-1.19999999999999</x:v>
      </x:c>
      <x:c r="E6" s="34" t="n">
        <x:f>('Inputs'!E13-'Inputs'!E14)*100</x:f>
        <x:v>-1.0999999999999899</x:v>
      </x:c>
      <x:c r="F6" s="34" t="n">
        <x:f>AVERAGE(D6:E6)</x:f>
        <x:v>-1.14999999999999</x:v>
      </x:c>
      <x:c r="G6" s="34" t="n">
        <x:f>MIN(D6:E6)</x:f>
        <x:v>-1.19999999999999</x:v>
      </x:c>
      <x:c r="H6" s="34" t="n">
        <x:f>MAX(D6:E6)</x:f>
        <x:v>-1.0999999999999899</x:v>
      </x:c>
      <x:c r="I6" s="34" t="n">
        <x:f>C6-F6</x:f>
        <x:v>0.9499999999999897</x:v>
      </x:c>
      <x:c r="J6" s="35" t="str">
        <x:f>IF(AND(B6="综合成本率",C6&gt;0),F6/C6,"")</x:f>
      </x:c>
      <x:c r="K6" s="18" t="str">
        <x:v>赔付端变化</x:v>
      </x:c>
    </x:row>
    <x:row r="7" ht="15" hidden="0" customHeight="1">
      <x:c r="A7" s="18" t="str">
        <x:v>2022R→2023</x:v>
      </x:c>
      <x:c r="B7" s="18" t="str">
        <x:v>费用率</x:v>
      </x:c>
      <x:c r="C7" s="34" t="n">
        <x:f>('Inputs'!F5-'Inputs'!F6)*100</x:f>
        <x:v>-0.8999999999999952</x:v>
      </x:c>
      <x:c r="D7" s="34" t="n">
        <x:f>('Inputs'!F9-'Inputs'!F10)*100</x:f>
        <x:v>0</x:v>
      </x:c>
      <x:c r="E7" s="34" t="n">
        <x:f>('Inputs'!F13-'Inputs'!F14)*100</x:f>
        <x:v>0.30000000000000027</x:v>
      </x:c>
      <x:c r="F7" s="34" t="n">
        <x:f>AVERAGE(D7:E7)</x:f>
        <x:v>0.15000000000000013</x:v>
      </x:c>
      <x:c r="G7" s="34" t="n">
        <x:f>MIN(D7:E7)</x:f>
        <x:v>0</x:v>
      </x:c>
      <x:c r="H7" s="34" t="n">
        <x:f>MAX(D7:E7)</x:f>
        <x:v>0.30000000000000027</x:v>
      </x:c>
      <x:c r="I7" s="34" t="n">
        <x:f>C7-F7</x:f>
        <x:v>-1.0499999999999954</x:v>
      </x:c>
      <x:c r="J7" s="35" t="str">
        <x:f>IF(AND(B7="综合成本率",C7&gt;0),F7/C7,"")</x:f>
      </x:c>
      <x:c r="K7" s="18" t="str">
        <x:v>费用端变化</x:v>
      </x:c>
    </x:row>
    <x:row r="8" ht="15" hidden="0" customHeight="1">
      <x:c r="A8" s="18" t="str">
        <x:v>2023→2024</x:v>
      </x:c>
      <x:c r="B8" s="18" t="str">
        <x:v>综合成本率</x:v>
      </x:c>
      <x:c r="C8" s="34" t="n">
        <x:f>('Inputs'!D6-'Inputs'!D7)*100</x:f>
        <x:v>2.4000000000000132</x:v>
      </x:c>
      <x:c r="D8" s="34" t="n">
        <x:f>('Inputs'!D10-'Inputs'!D11)*100</x:f>
        <x:v>-1.0000000000000009</x:v>
      </x:c>
      <x:c r="E8" s="34" t="n">
        <x:f>('Inputs'!D14-'Inputs'!D15)*100</x:f>
        <x:v>-0.9000000000000008</x:v>
      </x:c>
      <x:c r="F8" s="34" t="n">
        <x:f>AVERAGE(D8:E8)</x:f>
        <x:v>-0.9500000000000008</x:v>
      </x:c>
      <x:c r="G8" s="34" t="n">
        <x:f>MIN(D8:E8)</x:f>
        <x:v>-1.0000000000000009</x:v>
      </x:c>
      <x:c r="H8" s="34" t="n">
        <x:f>MAX(D8:E8)</x:f>
        <x:v>-0.9000000000000008</x:v>
      </x:c>
      <x:c r="I8" s="34" t="n">
        <x:f>C8-F8</x:f>
        <x:v>3.350000000000014</x:v>
      </x:c>
      <x:c r="J8" s="35" t="n">
        <x:f>IF(AND(B8="综合成本率",C8&gt;0),F8/C8,"")</x:f>
        <x:v>-0.3958333333333315</x:v>
      </x:c>
      <x:c r="K8" s="18" t="str">
        <x:v>整体结果</x:v>
      </x:c>
    </x:row>
    <x:row r="9" ht="15" hidden="0" customHeight="1">
      <x:c r="A9" s="18" t="str">
        <x:v>2023→2024</x:v>
      </x:c>
      <x:c r="B9" s="18" t="str">
        <x:v>赔付率</x:v>
      </x:c>
      <x:c r="C9" s="34" t="n">
        <x:f>('Inputs'!E6-'Inputs'!E7)*100</x:f>
        <x:v>0.5000000000000004</x:v>
      </x:c>
      <x:c r="D9" s="34" t="n">
        <x:f>('Inputs'!E10-'Inputs'!E11)*100</x:f>
        <x:v>-2.400000000000002</x:v>
      </x:c>
      <x:c r="E9" s="34" t="n">
        <x:f>('Inputs'!E14-'Inputs'!E15)*100</x:f>
        <x:v>-1.7000000000000015</x:v>
      </x:c>
      <x:c r="F9" s="34" t="n">
        <x:f>AVERAGE(D9:E9)</x:f>
        <x:v>-2.0500000000000016</x:v>
      </x:c>
      <x:c r="G9" s="34" t="n">
        <x:f>MIN(D9:E9)</x:f>
        <x:v>-2.400000000000002</x:v>
      </x:c>
      <x:c r="H9" s="34" t="n">
        <x:f>MAX(D9:E9)</x:f>
        <x:v>-1.7000000000000015</x:v>
      </x:c>
      <x:c r="I9" s="34" t="n">
        <x:f>C9-F9</x:f>
        <x:v>2.550000000000002</x:v>
      </x:c>
      <x:c r="J9" s="35" t="str">
        <x:f>IF(AND(B9="综合成本率",C9&gt;0),F9/C9,"")</x:f>
      </x:c>
      <x:c r="K9" s="18" t="str">
        <x:v>赔付端变化</x:v>
      </x:c>
    </x:row>
    <x:row r="10" ht="15" hidden="0" customHeight="1">
      <x:c r="A10" s="18" t="str">
        <x:v>2023→2024</x:v>
      </x:c>
      <x:c r="B10" s="18" t="str">
        <x:v>费用率</x:v>
      </x:c>
      <x:c r="C10" s="34" t="n">
        <x:f>('Inputs'!F6-'Inputs'!F7)*100</x:f>
        <x:v>1.8999999999999961</x:v>
      </x:c>
      <x:c r="D10" s="34" t="n">
        <x:f>('Inputs'!F10-'Inputs'!F11)*100</x:f>
        <x:v>1.4000000000000012</x:v>
      </x:c>
      <x:c r="E10" s="34" t="n">
        <x:f>('Inputs'!F14-'Inputs'!F15)*100</x:f>
        <x:v>0.8000000000000007</x:v>
      </x:c>
      <x:c r="F10" s="34" t="n">
        <x:f>AVERAGE(D10:E10)</x:f>
        <x:v>1.100000000000001</x:v>
      </x:c>
      <x:c r="G10" s="34" t="n">
        <x:f>MIN(D10:E10)</x:f>
        <x:v>0.8000000000000007</x:v>
      </x:c>
      <x:c r="H10" s="34" t="n">
        <x:f>MAX(D10:E10)</x:f>
        <x:v>1.4000000000000012</x:v>
      </x:c>
      <x:c r="I10" s="34" t="n">
        <x:f>C10-F10</x:f>
        <x:v>0.7999999999999952</x:v>
      </x:c>
      <x:c r="J10" s="35" t="str">
        <x:f>IF(AND(B10="综合成本率",C10&gt;0),F10/C10,"")</x:f>
      </x:c>
      <x:c r="K10" s="18" t="str">
        <x:v>费用端变化</x:v>
      </x:c>
    </x:row>
    <x:row r="11" ht="15" hidden="0" customHeight="1">
      <x:c r="A11" s="18" t="str">
        <x:v>2024→2025</x:v>
      </x:c>
      <x:c r="B11" s="18" t="str">
        <x:v>综合成本率</x:v>
      </x:c>
      <x:c r="C11" s="34" t="n">
        <x:f>('Inputs'!D7-'Inputs'!D8)*100</x:f>
        <x:v>1.5000000000000013</x:v>
      </x:c>
      <x:c r="D11" s="34" t="n">
        <x:f>('Inputs'!D11-'Inputs'!D12)*100</x:f>
        <x:v>1.3000000000000012</x:v>
      </x:c>
      <x:c r="E11" s="34" t="n">
        <x:f>('Inputs'!D15-'Inputs'!D16)*100</x:f>
        <x:v>1.100000000000001</x:v>
      </x:c>
      <x:c r="F11" s="34" t="n">
        <x:f>AVERAGE(D11:E11)</x:f>
        <x:v>1.200000000000001</x:v>
      </x:c>
      <x:c r="G11" s="34" t="n">
        <x:f>MIN(D11:E11)</x:f>
        <x:v>1.100000000000001</x:v>
      </x:c>
      <x:c r="H11" s="34" t="n">
        <x:f>MAX(D11:E11)</x:f>
        <x:v>1.3000000000000012</x:v>
      </x:c>
      <x:c r="I11" s="34" t="n">
        <x:f>C11-F11</x:f>
        <x:v>0.30000000000000027</x:v>
      </x:c>
      <x:c r="J11" s="35" t="n">
        <x:f>IF(AND(B11="综合成本率",C11&gt;0),F11/C11,"")</x:f>
        <x:v>0.8</x:v>
      </x:c>
      <x:c r="K11" s="18" t="str">
        <x:v>整体结果</x:v>
      </x:c>
    </x:row>
    <x:row r="12" ht="15" hidden="0" customHeight="1">
      <x:c r="A12" s="18" t="str">
        <x:v>2024→2025</x:v>
      </x:c>
      <x:c r="B12" s="18" t="str">
        <x:v>赔付率</x:v>
      </x:c>
      <x:c r="C12" s="34" t="n">
        <x:f>('Inputs'!E7-'Inputs'!E8)*100</x:f>
        <x:v>0.5999999999999894</x:v>
      </x:c>
      <x:c r="D12" s="34" t="n">
        <x:f>('Inputs'!E11-'Inputs'!E12)*100</x:f>
        <x:v>-0.9000000000000119</x:v>
      </x:c>
      <x:c r="E12" s="34" t="n">
        <x:f>('Inputs'!E15-'Inputs'!E16)*100</x:f>
        <x:v>0.39999999999998925</x:v>
      </x:c>
      <x:c r="F12" s="34" t="n">
        <x:f>AVERAGE(D12:E12)</x:f>
        <x:v>-0.2500000000000113</x:v>
      </x:c>
      <x:c r="G12" s="34" t="n">
        <x:f>MIN(D12:E12)</x:f>
        <x:v>-0.9000000000000119</x:v>
      </x:c>
      <x:c r="H12" s="34" t="n">
        <x:f>MAX(D12:E12)</x:f>
        <x:v>0.39999999999998925</x:v>
      </x:c>
      <x:c r="I12" s="34" t="n">
        <x:f>C12-F12</x:f>
        <x:v>0.8500000000000008</x:v>
      </x:c>
      <x:c r="J12" s="35" t="str">
        <x:f>IF(AND(B12="综合成本率",C12&gt;0),F12/C12,"")</x:f>
      </x:c>
      <x:c r="K12" s="18" t="str">
        <x:v>赔付端变化</x:v>
      </x:c>
    </x:row>
    <x:row r="13" ht="15" hidden="0" customHeight="1">
      <x:c r="A13" s="18" t="str">
        <x:v>2024→2025</x:v>
      </x:c>
      <x:c r="B13" s="18" t="str">
        <x:v>费用率</x:v>
      </x:c>
      <x:c r="C13" s="34" t="n">
        <x:f>('Inputs'!F7-'Inputs'!F8)*100</x:f>
        <x:v>0.9000000000000008</x:v>
      </x:c>
      <x:c r="D13" s="34" t="n">
        <x:f>('Inputs'!F11-'Inputs'!F12)*100</x:f>
        <x:v>2.1999999999999993</x:v>
      </x:c>
      <x:c r="E13" s="34" t="n">
        <x:f>('Inputs'!F15-'Inputs'!F16)*100</x:f>
        <x:v>0.7000000000000006</x:v>
      </x:c>
      <x:c r="F13" s="34" t="n">
        <x:f>AVERAGE(D13:E13)</x:f>
        <x:v>1.45</x:v>
      </x:c>
      <x:c r="G13" s="34" t="n">
        <x:f>MIN(D13:E13)</x:f>
        <x:v>0.7000000000000006</x:v>
      </x:c>
      <x:c r="H13" s="34" t="n">
        <x:f>MAX(D13:E13)</x:f>
        <x:v>2.1999999999999993</x:v>
      </x:c>
      <x:c r="I13" s="34" t="n">
        <x:f>C13-F13</x:f>
        <x:v>-0.5499999999999992</x:v>
      </x:c>
      <x:c r="J13" s="35" t="str">
        <x:f>IF(AND(B13="综合成本率",C13&gt;0),F13/C13,"")</x:f>
      </x:c>
      <x:c r="K13" s="18" t="str">
        <x:v>费用端变化</x:v>
      </x:c>
    </x:row>
    <x:row r="14" ht="15" hidden="0" customHeight="1">
      <x:c r="A14" s="18" t="str">
        <x:v>2023→2025</x:v>
      </x:c>
      <x:c r="B14" s="18" t="str">
        <x:v>综合成本率</x:v>
      </x:c>
      <x:c r="C14" s="34" t="n">
        <x:f>('Inputs'!D6-'Inputs'!D8)*100</x:f>
        <x:v>3.9000000000000146</x:v>
      </x:c>
      <x:c r="D14" s="34" t="n">
        <x:f>('Inputs'!D10-'Inputs'!D12)*100</x:f>
        <x:v>0.30000000000000027</x:v>
      </x:c>
      <x:c r="E14" s="34" t="n">
        <x:f>('Inputs'!D14-'Inputs'!D16)*100</x:f>
        <x:v>0.20000000000000018</x:v>
      </x:c>
      <x:c r="F14" s="34" t="n">
        <x:f>AVERAGE(D14:E14)</x:f>
        <x:v>0.2500000000000002</x:v>
      </x:c>
      <x:c r="G14" s="34" t="n">
        <x:f>MIN(D14:E14)</x:f>
        <x:v>0.20000000000000018</x:v>
      </x:c>
      <x:c r="H14" s="34" t="n">
        <x:f>MAX(D14:E14)</x:f>
        <x:v>0.30000000000000027</x:v>
      </x:c>
      <x:c r="I14" s="34" t="n">
        <x:f>C14-F14</x:f>
        <x:v>3.6500000000000146</x:v>
      </x:c>
      <x:c r="J14" s="35" t="n">
        <x:f>IF(AND(B14="综合成本率",C14&gt;0),F14/C14,"")</x:f>
        <x:v>0.06410256410256392</x:v>
      </x:c>
      <x:c r="K14" s="18" t="str">
        <x:v>整体结果</x:v>
      </x:c>
    </x:row>
    <x:row r="15" ht="15" hidden="0" customHeight="1">
      <x:c r="A15" s="18" t="str">
        <x:v>2023→2025</x:v>
      </x:c>
      <x:c r="B15" s="18" t="str">
        <x:v>赔付率</x:v>
      </x:c>
      <x:c r="C15" s="34" t="n">
        <x:f>('Inputs'!E6-'Inputs'!E8)*100</x:f>
        <x:v>1.0999999999999899</x:v>
      </x:c>
      <x:c r="D15" s="34" t="n">
        <x:f>('Inputs'!E10-'Inputs'!E12)*100</x:f>
        <x:v>-3.300000000000014</x:v>
      </x:c>
      <x:c r="E15" s="34" t="n">
        <x:f>('Inputs'!E14-'Inputs'!E16)*100</x:f>
        <x:v>-1.3000000000000123</x:v>
      </x:c>
      <x:c r="F15" s="34" t="n">
        <x:f>AVERAGE(D15:E15)</x:f>
        <x:v>-2.300000000000013</x:v>
      </x:c>
      <x:c r="G15" s="34" t="n">
        <x:f>MIN(D15:E15)</x:f>
        <x:v>-3.300000000000014</x:v>
      </x:c>
      <x:c r="H15" s="34" t="n">
        <x:f>MAX(D15:E15)</x:f>
        <x:v>-1.3000000000000123</x:v>
      </x:c>
      <x:c r="I15" s="34" t="n">
        <x:f>C15-F15</x:f>
        <x:v>3.400000000000003</x:v>
      </x:c>
      <x:c r="J15" s="35" t="str">
        <x:f>IF(AND(B15="综合成本率",C15&gt;0),F15/C15,"")</x:f>
      </x:c>
      <x:c r="K15" s="18" t="str">
        <x:v>赔付端变化</x:v>
      </x:c>
    </x:row>
    <x:row r="16" ht="15" hidden="0" customHeight="1">
      <x:c r="A16" s="18" t="str">
        <x:v>2023→2025</x:v>
      </x:c>
      <x:c r="B16" s="18" t="str">
        <x:v>费用率</x:v>
      </x:c>
      <x:c r="C16" s="34" t="n">
        <x:f>('Inputs'!F6-'Inputs'!F8)*100</x:f>
        <x:v>2.799999999999997</x:v>
      </x:c>
      <x:c r="D16" s="34" t="n">
        <x:f>('Inputs'!F10-'Inputs'!F12)*100</x:f>
        <x:v>3.6000000000000005</x:v>
      </x:c>
      <x:c r="E16" s="34" t="n">
        <x:f>('Inputs'!F14-'Inputs'!F16)*100</x:f>
        <x:v>1.5000000000000013</x:v>
      </x:c>
      <x:c r="F16" s="34" t="n">
        <x:f>AVERAGE(D16:E16)</x:f>
        <x:v>2.5500000000000007</x:v>
      </x:c>
      <x:c r="G16" s="34" t="n">
        <x:f>MIN(D16:E16)</x:f>
        <x:v>1.5000000000000013</x:v>
      </x:c>
      <x:c r="H16" s="34" t="n">
        <x:f>MAX(D16:E16)</x:f>
        <x:v>3.6000000000000005</x:v>
      </x:c>
      <x:c r="I16" s="34" t="n">
        <x:f>C16-F16</x:f>
        <x:v>0.24999999999999645</x:v>
      </x:c>
      <x:c r="J16" s="35" t="str">
        <x:f>IF(AND(B16="综合成本率",C16&gt;0),F16/C16,"")</x:f>
      </x:c>
      <x:c r="K16" s="18" t="str">
        <x:v>费用端变化</x:v>
      </x:c>
    </x:row>
  </x:sheetData>
  <x:mergeCells>
    <x:mergeCell ref="A1:K1"/>
    <x:mergeCell ref="A2:K2"/>
  </x:mergeCells>
  <x:conditionalFormatting sqref="I5:I16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21.600000381469727" hidden="0" customHeight="1">
      <x:c r="A1" s="3" t="str">
        <x:v>2025年横向差距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Gap=平安−对标方；比率越低通常越好，因此负数表示平安更优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4" t="str">
        <x:v>对标方</x:v>
      </x:c>
      <x:c r="B4" s="14" t="str">
        <x:v>指标</x:v>
      </x:c>
      <x:c r="C4" s="14" t="str">
        <x:v>平安</x:v>
      </x:c>
      <x:c r="D4" s="14" t="str">
        <x:v>对标方</x:v>
      </x:c>
      <x:c r="E4" s="14" t="str">
        <x:v>Gap(pp)</x:v>
      </x:c>
      <x:c r="F4" s="14" t="str">
        <x:v>平安方向</x:v>
      </x:c>
      <x:c r="G4" s="14" t="str">
        <x:v>数量解释</x:v>
      </x:c>
      <x:c r="H4" s="14" t="str">
        <x:v>来源</x:v>
      </x:c>
    </x:row>
    <x:row r="5" ht="15" hidden="0" customHeight="1">
      <x:c r="A5" s="18" t="str">
        <x:v>人保财险</x:v>
      </x:c>
      <x:c r="B5" s="18" t="str">
        <x:v>综合成本率</x:v>
      </x:c>
      <x:c r="C5" s="40" t="n">
        <x:f>'Inputs'!D8</x:f>
        <x:v>0.968</x:v>
      </x:c>
      <x:c r="D5" s="40" t="n">
        <x:f>'Inputs'!D12</x:f>
        <x:v>0.975</x:v>
      </x:c>
      <x:c r="E5" s="34" t="n">
        <x:f>(C5-D5)*100</x:f>
        <x:v>-0.7000000000000006</x:v>
      </x:c>
      <x:c r="F5" s="41" t="str">
        <x:f>IF(E5&lt;0,"平安更低",IF(E5&gt;0,"平安更高","持平"))</x:f>
        <x:v>平安更低</x:v>
      </x:c>
      <x:c r="G5" s="18" t="str">
        <x:v>净承保结果差</x:v>
      </x:c>
      <x:c r="H5" s="18" t="str">
        <x:v>PA25+PI25</x:v>
      </x:c>
    </x:row>
    <x:row r="6" ht="15" hidden="0" customHeight="1">
      <x:c r="A6" s="18" t="str">
        <x:v>人保财险</x:v>
      </x:c>
      <x:c r="B6" s="18" t="str">
        <x:v>赔付率</x:v>
      </x:c>
      <x:c r="C6" s="40" t="n">
        <x:f>'Inputs'!E8</x:f>
        <x:v>0.7040000000000001</x:v>
      </x:c>
      <x:c r="D6" s="40" t="n">
        <x:f>'Inputs'!E12</x:f>
        <x:v>0.7390000000000001</x:v>
      </x:c>
      <x:c r="E6" s="34" t="n">
        <x:f>(C6-D6)*100</x:f>
        <x:v>-3.500000000000003</x:v>
      </x:c>
      <x:c r="F6" s="41" t="str">
        <x:f>IF(E6&lt;0,"平安更低",IF(E6&gt;0,"平安更高","持平"))</x:f>
        <x:v>平安更低</x:v>
      </x:c>
      <x:c r="G6" s="18" t="str">
        <x:v>赔付端差</x:v>
      </x:c>
      <x:c r="H6" s="18" t="str">
        <x:v>PA25+PI25</x:v>
      </x:c>
    </x:row>
    <x:row r="7" ht="15" hidden="0" customHeight="1">
      <x:c r="A7" s="18" t="str">
        <x:v>人保财险</x:v>
      </x:c>
      <x:c r="B7" s="18" t="str">
        <x:v>费用率</x:v>
      </x:c>
      <x:c r="C7" s="40" t="n">
        <x:f>'Inputs'!F8</x:f>
        <x:v>0.264</x:v>
      </x:c>
      <x:c r="D7" s="40" t="n">
        <x:f>'Inputs'!F12</x:f>
        <x:v>0.23600000000000002</x:v>
      </x:c>
      <x:c r="E7" s="34" t="n">
        <x:f>(C7-D7)*100</x:f>
        <x:v>2.8</x:v>
      </x:c>
      <x:c r="F7" s="41" t="str">
        <x:f>IF(E7&lt;0,"平安更低",IF(E7&gt;0,"平安更高","持平"))</x:f>
        <x:v>平安更高</x:v>
      </x:c>
      <x:c r="G7" s="18" t="str">
        <x:v>费用端差</x:v>
      </x:c>
      <x:c r="H7" s="18" t="str">
        <x:v>PA25+PI25</x:v>
      </x:c>
    </x:row>
    <x:row r="8" ht="15" hidden="0" customHeight="1">
      <x:c r="A8" s="18" t="str">
        <x:v>太保产险</x:v>
      </x:c>
      <x:c r="B8" s="18" t="str">
        <x:v>综合成本率</x:v>
      </x:c>
      <x:c r="C8" s="40" t="n">
        <x:f>'Inputs'!D8</x:f>
        <x:v>0.968</x:v>
      </x:c>
      <x:c r="D8" s="40" t="n">
        <x:f>'Inputs'!D16</x:f>
        <x:v>0.975</x:v>
      </x:c>
      <x:c r="E8" s="34" t="n">
        <x:f>(C8-D8)*100</x:f>
        <x:v>-0.7000000000000006</x:v>
      </x:c>
      <x:c r="F8" s="41" t="str">
        <x:f>IF(E8&lt;0,"平安更低",IF(E8&gt;0,"平安更高","持平"))</x:f>
        <x:v>平安更低</x:v>
      </x:c>
      <x:c r="G8" s="18" t="str">
        <x:v>净承保结果差</x:v>
      </x:c>
      <x:c r="H8" s="18" t="str">
        <x:v>PA25+CP25</x:v>
      </x:c>
    </x:row>
    <x:row r="9" ht="15" hidden="0" customHeight="1">
      <x:c r="A9" s="18" t="str">
        <x:v>太保产险</x:v>
      </x:c>
      <x:c r="B9" s="18" t="str">
        <x:v>赔付率</x:v>
      </x:c>
      <x:c r="C9" s="40" t="n">
        <x:f>'Inputs'!E8</x:f>
        <x:v>0.7040000000000001</x:v>
      </x:c>
      <x:c r="D9" s="40" t="n">
        <x:f>'Inputs'!E16</x:f>
        <x:v>0.7040000000000001</x:v>
      </x:c>
      <x:c r="E9" s="34" t="n">
        <x:f>(C9-D9)*100</x:f>
        <x:v>0</x:v>
      </x:c>
      <x:c r="F9" s="41" t="str">
        <x:f>IF(E9&lt;0,"平安更低",IF(E9&gt;0,"平安更高","持平"))</x:f>
        <x:v>持平</x:v>
      </x:c>
      <x:c r="G9" s="18" t="str">
        <x:v>赔付端差</x:v>
      </x:c>
      <x:c r="H9" s="18" t="str">
        <x:v>PA25+CP25</x:v>
      </x:c>
    </x:row>
    <x:row r="10" ht="15" hidden="0" customHeight="1">
      <x:c r="A10" s="18" t="str">
        <x:v>太保产险</x:v>
      </x:c>
      <x:c r="B10" s="18" t="str">
        <x:v>费用率</x:v>
      </x:c>
      <x:c r="C10" s="40" t="n">
        <x:f>'Inputs'!F8</x:f>
        <x:v>0.264</x:v>
      </x:c>
      <x:c r="D10" s="40" t="n">
        <x:f>'Inputs'!F16</x:f>
        <x:v>0.271</x:v>
      </x:c>
      <x:c r="E10" s="34" t="n">
        <x:f>(C10-D10)*100</x:f>
        <x:v>-0.7000000000000006</x:v>
      </x:c>
      <x:c r="F10" s="41" t="str">
        <x:f>IF(E10&lt;0,"平安更低",IF(E10&gt;0,"平安更高","持平"))</x:f>
        <x:v>平安更低</x:v>
      </x:c>
      <x:c r="G10" s="18" t="str">
        <x:v>费用端差</x:v>
      </x:c>
      <x:c r="H10" s="18" t="str">
        <x:v>PA25+CP25</x:v>
      </x:c>
    </x:row>
    <x:row r="11"/>
    <x:row r="12"/>
    <x:row r="13" ht="42" hidden="0" customHeight="1">
      <x:c r="A13" s="45" t="str">
        <x:v>读法：对人保，平安赔付率低3.5pp但费用率高2.8pp，净得COR低0.7pp；对太保，赔付率持平，费用率低0.7pp，净得COR低0.7pp。</x:v>
      </x:c>
      <x:c r="B13" s="46"/>
      <x:c r="C13" s="46"/>
      <x:c r="D13" s="46"/>
      <x:c r="E13" s="46"/>
      <x:c r="F13" s="46"/>
      <x:c r="G13" s="46"/>
      <x:c r="H13" s="47"/>
    </x:row>
  </x:sheetData>
  <x:mergeCells>
    <x:mergeCell ref="A1:H1"/>
    <x:mergeCell ref="A2:H2"/>
    <x:mergeCell ref="A13:H13"/>
  </x:mergeCells>
  <x:conditionalFormatting sqref="E5:E10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8" hidden="0" customWidth="1"/>
    <x:col min="4" max="4" width="15" hidden="0" customWidth="1"/>
    <x:col min="5" max="5" width="15" hidden="0" customWidth="1"/>
    <x:col min="6" max="6" width="34" hidden="0" customWidth="1"/>
    <x:col min="7" max="7" width="34" hidden="0" customWidth="1"/>
    <x:col min="8" max="8" width="40" hidden="0" customWidth="1"/>
  </x:cols>
  <x:sheetData>
    <x:row r="1" ht="21.600000381469727" hidden="0" customHeight="1">
      <x:c r="A1" s="3" t="str">
        <x:v>阶段3综合证据图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不同拆解轴不可相加：同业代理、险种贡献、结构敏感性和非车桥接分别回答不同问题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4" t="str">
        <x:v>模块</x:v>
      </x:c>
      <x:c r="B4" s="14" t="str">
        <x:v>观察窗口</x:v>
      </x:c>
      <x:c r="C4" s="14" t="str">
        <x:v>核心结果</x:v>
      </x:c>
      <x:c r="D4" s="14" t="str">
        <x:v>数值1</x:v>
      </x:c>
      <x:c r="E4" s="14" t="str">
        <x:v>数值2</x:v>
      </x:c>
      <x:c r="F4" s="14" t="str">
        <x:v>可持续性判断</x:v>
      </x:c>
      <x:c r="G4" s="14" t="str">
        <x:v>归因限制</x:v>
      </x:c>
      <x:c r="H4" s="14" t="str">
        <x:v>来源</x:v>
      </x:c>
    </x:row>
    <x:row r="5" ht="15" hidden="0" customHeight="1">
      <x:c r="A5" s="18" t="str">
        <x:v>3-1 COR拆解</x:v>
      </x:c>
      <x:c r="B5" s="18" t="str">
        <x:v>2023→2025</x:v>
      </x:c>
      <x:c r="C5" s="18" t="str">
        <x:v>费用率是整体COR改善的主要算术来源</x:v>
      </x:c>
      <x:c r="D5" s="50" t="n">
        <x:v>2.8</x:v>
      </x:c>
      <x:c r="E5" s="50" t="n">
        <x:v>1.1</x:v>
      </x:c>
      <x:c r="F5" s="18" t="str">
        <x:v>费用重置不宜按原幅度外推</x:v>
      </x:c>
      <x:c r="G5" s="18" t="str">
        <x:v>同业费用代理混合报行合一、渠道、结构与数字化</x:v>
      </x:c>
      <x:c r="H5" s="18" t="str">
        <x:v>阶段3-1及PA23/PA25/PI23/PI25/CP23/CP25</x:v>
      </x:c>
    </x:row>
    <x:row r="6" ht="15" hidden="0" customHeight="1">
      <x:c r="A6" s="18" t="str">
        <x:v>3-2 保证险</x:v>
      </x:c>
      <x:c r="B6" s="18" t="str">
        <x:v>2023→2025</x:v>
      </x:c>
      <x:c r="C6" s="18" t="str">
        <x:v>保证险贡献占整体改善的大部分</x:v>
      </x:c>
      <x:c r="D6" s="50" t="n">
        <x:v>2.798393</x:v>
      </x:c>
      <x:c r="E6" s="50" t="n">
        <x:v>1.028259</x:v>
      </x:c>
      <x:c r="F6" s="18" t="str">
        <x:v>出清/扭亏主要是阶段性贡献</x:v>
      </x:c>
      <x:c r="G6" s="18" t="str">
        <x:v>与同业费用代理是不同拆解轴，不可相加</x:v>
      </x:c>
      <x:c r="H6" s="18" t="str">
        <x:v>L23/L25A/PA25S</x:v>
      </x:c>
    </x:row>
    <x:row r="7" ht="15" hidden="0" customHeight="1">
      <x:c r="A7" s="18" t="str">
        <x:v>3-3 新能源</x:v>
      </x:c>
      <x:c r="B7" s="18" t="str">
        <x:v>2024→2025</x:v>
      </x:c>
      <x:c r="C7" s="18" t="str">
        <x:v>新能源占比提升形成结构性成本逆风</x:v>
      </x:c>
      <x:c r="D7" s="50" t="n">
        <x:v>0</x:v>
      </x:c>
      <x:c r="E7" s="50" t="n">
        <x:v>0.3195</x:v>
      </x:c>
      <x:c r="F7" s="18" t="str">
        <x:v>随占比继续提升可能延续</x:v>
      </x:c>
      <x:c r="G7" s="18" t="str">
        <x:v>区间为用户确认敏感性，不是实测分项COR差</x:v>
      </x:c>
      <x:c r="H7" s="18" t="str">
        <x:v>PA24M/PA25M/PA25P+用户确认A1</x:v>
      </x:c>
    </x:row>
    <x:row r="8" ht="15" hidden="0" customHeight="1">
      <x:c r="A8" s="18" t="str">
        <x:v>3-4 核心非车</x:v>
      </x:c>
      <x:c r="B8" s="18" t="str">
        <x:v>2024→2025</x:v>
      </x:c>
      <x:c r="C8" s="18" t="str">
        <x:v>核心非车抵消车险与保证险毛改善</x:v>
      </x:c>
      <x:c r="D8" s="50" t="n">
        <x:v>2.215527</x:v>
      </x:c>
      <x:c r="E8" s="50" t="n">
        <x:v>-0.718271</x:v>
      </x:c>
      <x:c r="F8" s="18" t="str">
        <x:v>责任险等压力未解除</x:v>
      </x:c>
      <x:c r="G8" s="18" t="str">
        <x:v>公开数据缺频次、案均赔款、费用率和准备金分拆</x:v>
      </x:c>
      <x:c r="H8" s="18" t="str">
        <x:v>PA24S/PA25S/L25A/L25B</x:v>
      </x:c>
    </x:row>
    <x:row r="9" ht="15" hidden="0" customHeight="1">
      <x:c r="A9" s="18" t="str">
        <x:v>3-5 同业</x:v>
      </x:c>
      <x:c r="B9" s="18" t="str">
        <x:v>2024→2025</x:v>
      </x:c>
      <x:c r="C9" s="18" t="str">
        <x:v>最新一年更接近行业共同改善，平安超额收窄</x:v>
      </x:c>
      <x:c r="D9" s="50" t="n">
        <x:v>1.2</x:v>
      </x:c>
      <x:c r="E9" s="50" t="n">
        <x:v>0.3</x:v>
      </x:c>
      <x:c r="F9" s="18" t="str">
        <x:v>不支持线性外推2023→2024速度</x:v>
      </x:c>
      <x:c r="G9" s="18" t="str">
        <x:v>同业均值是趋势代理，不是纯外部效应</x:v>
      </x:c>
      <x:c r="H9" s="18" t="str">
        <x:v>PA24/PA25/PI24/PI25/CP24/CP25</x:v>
      </x:c>
    </x:row>
    <x:row r="10"/>
    <x:row r="11"/>
    <x:row r="12" ht="15" hidden="0" customHeight="1">
      <x:c r="A12" s="11" t="str">
        <x:v>综合判断</x:v>
      </x:c>
      <x:c r="B12" s="11"/>
      <x:c r="C12" s="11"/>
      <x:c r="D12" s="11"/>
      <x:c r="E12" s="11"/>
      <x:c r="F12" s="11"/>
      <x:c r="G12" s="11"/>
      <x:c r="H12" s="11"/>
    </x:row>
    <x:row r="13" ht="36" hidden="0" customHeight="1">
      <x:c r="A13" s="52" t="str">
        <x:v>1. 行业共同费用压降能解释平安费用率改善的大部分方向，但不能解释平安从2023年同业落后转为2025年领先。</x:v>
      </x:c>
      <x:c r="B13" s="52"/>
      <x:c r="C13" s="52"/>
      <x:c r="D13" s="52"/>
      <x:c r="E13" s="52"/>
      <x:c r="F13" s="52"/>
      <x:c r="G13" s="52"/>
      <x:c r="H13" s="52"/>
    </x:row>
    <x:row r="14" ht="36" hidden="0" customHeight="1">
      <x:c r="A14" s="52" t="str">
        <x:v>2. 2023→2024是主要分化年；2024→2025三家公司COR均改善，平安相对同业均值只多改善0.3pp。</x:v>
      </x:c>
      <x:c r="B14" s="52"/>
      <x:c r="C14" s="52"/>
      <x:c r="D14" s="52"/>
      <x:c r="E14" s="52"/>
      <x:c r="F14" s="52"/>
      <x:c r="G14" s="52"/>
      <x:c r="H14" s="52"/>
    </x:row>
    <x:row r="15" ht="36" hidden="0" customHeight="1">
      <x:c r="A15" s="52" t="str">
        <x:v>3. 平安2025年COR领先0.7pp的来源并不单一：对人保靠赔付率优势抵收费率劣势；对太保靠费用率优势。</x:v>
      </x:c>
      <x:c r="B15" s="52"/>
      <x:c r="C15" s="52"/>
      <x:c r="D15" s="52"/>
      <x:c r="E15" s="52"/>
      <x:c r="F15" s="52"/>
      <x:c r="G15" s="52"/>
      <x:c r="H15" s="52"/>
    </x:row>
    <x:row r="16" ht="36" hidden="0" customHeight="1">
      <x:c r="A16" s="52" t="str">
        <x:v>4. 保证险阶段性贡献、核心非车反向压力和新能源结构逆风同时存在，不能把全部超额改善定义为可持续自身能力。</x:v>
      </x:c>
      <x:c r="B16" s="52"/>
      <x:c r="C16" s="52"/>
      <x:c r="D16" s="52"/>
      <x:c r="E16" s="52"/>
      <x:c r="F16" s="52"/>
      <x:c r="G16" s="52"/>
      <x:c r="H16" s="52"/>
    </x:row>
    <x:row r="17" ht="36" hidden="0" customHeight="1">
      <x:c r="A17" s="52" t="str">
        <x:v>5. 阶段4应把同业COR差、赔付率差、费用率差与分险种压力一起设为常态监控，而不是只看整体COR。</x:v>
      </x:c>
      <x:c r="B17" s="52"/>
      <x:c r="C17" s="52"/>
      <x:c r="D17" s="52"/>
      <x:c r="E17" s="52"/>
      <x:c r="F17" s="52"/>
      <x:c r="G17" s="52"/>
      <x:c r="H17" s="52"/>
    </x:row>
  </x:sheetData>
  <x:mergeCells>
    <x:mergeCell ref="A1:H1"/>
    <x:mergeCell ref="A2:H2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20" hidden="0" customWidth="1"/>
  </x:cols>
  <x:sheetData>
    <x:row r="1" ht="21.600000381469727" hidden="0" customHeight="1">
      <x:c r="A1" s="3" t="str">
        <x:v>模型检查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PASS表示公式、分解、来源完整性和单位通过；不代表同业代理已识别纯因果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4" t="str">
        <x:v>检查项</x:v>
      </x:c>
      <x:c r="B4" s="14" t="str">
        <x:v>实际值</x:v>
      </x:c>
      <x:c r="C4" s="14" t="str">
        <x:v>期望值</x:v>
      </x:c>
      <x:c r="D4" s="14" t="str">
        <x:v>差异</x:v>
      </x:c>
      <x:c r="E4" s="14" t="str">
        <x:v>容差</x:v>
      </x:c>
      <x:c r="F4" s="14" t="str">
        <x:v>状态</x:v>
      </x:c>
      <x:c r="G4" s="14" t="str">
        <x:v>说明</x:v>
      </x:c>
    </x:row>
    <x:row r="5" ht="15" hidden="0" customHeight="1">
      <x:c r="A5" s="18" t="str">
        <x:v>平安产险 2022R COR=赔付率+费用率</x:v>
      </x:c>
      <x:c r="B5" s="66" t="n">
        <x:f>'Inputs'!D5</x:f>
        <x:v>0.996</x:v>
      </x:c>
      <x:c r="C5" s="66" t="n">
        <x:f>'Inputs'!E5+'Inputs'!F5</x:f>
        <x:v>0.996</x:v>
      </x:c>
      <x:c r="D5" s="66" t="n">
        <x:f>ABS(B5-C5)</x:f>
        <x:v>0</x:v>
      </x:c>
      <x:c r="E5" s="66" t="n">
        <x:v>0.000001</x:v>
      </x:c>
      <x:c r="F5" s="18" t="str">
        <x:f>IF(D5&lt;=E5,"PASS","FAIL")</x:f>
        <x:v>PASS</x:v>
      </x:c>
      <x:c r="G5" s="18" t="str">
        <x:v>比率勾稽</x:v>
      </x:c>
    </x:row>
    <x:row r="6" ht="15" hidden="0" customHeight="1">
      <x:c r="A6" s="18" t="str">
        <x:v>平安产险 2023 COR=赔付率+费用率</x:v>
      </x:c>
      <x:c r="B6" s="66" t="n">
        <x:f>'Inputs'!D6</x:f>
        <x:v>1.0070000000000001</x:v>
      </x:c>
      <x:c r="C6" s="66" t="n">
        <x:f>'Inputs'!E6+'Inputs'!F6</x:f>
        <x:v>1.007</x:v>
      </x:c>
      <x:c r="D6" s="66" t="n">
        <x:f>ABS(B6-C6)</x:f>
        <x:v>2.220446049250313e-16</x:v>
      </x:c>
      <x:c r="E6" s="66" t="n">
        <x:v>0.000001</x:v>
      </x:c>
      <x:c r="F6" s="18" t="str">
        <x:f>IF(D6&lt;=E6,"PASS","FAIL")</x:f>
        <x:v>PASS</x:v>
      </x:c>
      <x:c r="G6" s="18" t="str">
        <x:v>比率勾稽</x:v>
      </x:c>
    </x:row>
    <x:row r="7" ht="15" hidden="0" customHeight="1">
      <x:c r="A7" s="18" t="str">
        <x:v>平安产险 2024 COR=赔付率+费用率</x:v>
      </x:c>
      <x:c r="B7" s="66" t="n">
        <x:f>'Inputs'!D7</x:f>
        <x:v>0.983</x:v>
      </x:c>
      <x:c r="C7" s="66" t="n">
        <x:f>'Inputs'!E7+'Inputs'!F7</x:f>
        <x:v>0.983</x:v>
      </x:c>
      <x:c r="D7" s="66" t="n">
        <x:f>ABS(B7-C7)</x:f>
        <x:v>0</x:v>
      </x:c>
      <x:c r="E7" s="66" t="n">
        <x:v>0.000001</x:v>
      </x:c>
      <x:c r="F7" s="18" t="str">
        <x:f>IF(D7&lt;=E7,"PASS","FAIL")</x:f>
        <x:v>PASS</x:v>
      </x:c>
      <x:c r="G7" s="18" t="str">
        <x:v>比率勾稽</x:v>
      </x:c>
    </x:row>
    <x:row r="8" ht="15" hidden="0" customHeight="1">
      <x:c r="A8" s="18" t="str">
        <x:v>平安产险 2025 COR=赔付率+费用率</x:v>
      </x:c>
      <x:c r="B8" s="66" t="n">
        <x:f>'Inputs'!D8</x:f>
        <x:v>0.968</x:v>
      </x:c>
      <x:c r="C8" s="66" t="n">
        <x:f>'Inputs'!E8+'Inputs'!F8</x:f>
        <x:v>0.9680000000000001</x:v>
      </x:c>
      <x:c r="D8" s="66" t="n">
        <x:f>ABS(B8-C8)</x:f>
        <x:v>1.1102230246251565e-16</x:v>
      </x:c>
      <x:c r="E8" s="66" t="n">
        <x:v>0.000001</x:v>
      </x:c>
      <x:c r="F8" s="18" t="str">
        <x:f>IF(D8&lt;=E8,"PASS","FAIL")</x:f>
        <x:v>PASS</x:v>
      </x:c>
      <x:c r="G8" s="18" t="str">
        <x:v>比率勾稽</x:v>
      </x:c>
    </x:row>
    <x:row r="9" ht="15" hidden="0" customHeight="1">
      <x:c r="A9" s="18" t="str">
        <x:v>人保财险 2022R COR=赔付率+费用率</x:v>
      </x:c>
      <x:c r="B9" s="66" t="n">
        <x:f>'Inputs'!D9</x:f>
        <x:v>0.966</x:v>
      </x:c>
      <x:c r="C9" s="66" t="n">
        <x:f>'Inputs'!E9+'Inputs'!F9</x:f>
        <x:v>0.9660000000000001</x:v>
      </x:c>
      <x:c r="D9" s="66" t="n">
        <x:f>ABS(B9-C9)</x:f>
        <x:v>1.1102230246251565e-16</x:v>
      </x:c>
      <x:c r="E9" s="66" t="n">
        <x:v>0.000001</x:v>
      </x:c>
      <x:c r="F9" s="18" t="str">
        <x:f>IF(D9&lt;=E9,"PASS","FAIL")</x:f>
        <x:v>PASS</x:v>
      </x:c>
      <x:c r="G9" s="18" t="str">
        <x:v>比率勾稽</x:v>
      </x:c>
    </x:row>
    <x:row r="10" ht="15" hidden="0" customHeight="1">
      <x:c r="A10" s="18" t="str">
        <x:v>人保财险 2023 COR=赔付率+费用率</x:v>
      </x:c>
      <x:c r="B10" s="66" t="n">
        <x:f>'Inputs'!D10</x:f>
        <x:v>0.978</x:v>
      </x:c>
      <x:c r="C10" s="66" t="n">
        <x:f>'Inputs'!E10+'Inputs'!F10</x:f>
        <x:v>0.978</x:v>
      </x:c>
      <x:c r="D10" s="66" t="n">
        <x:f>ABS(B10-C10)</x:f>
        <x:v>0</x:v>
      </x:c>
      <x:c r="E10" s="66" t="n">
        <x:v>0.000001</x:v>
      </x:c>
      <x:c r="F10" s="18" t="str">
        <x:f>IF(D10&lt;=E10,"PASS","FAIL")</x:f>
        <x:v>PASS</x:v>
      </x:c>
      <x:c r="G10" s="18" t="str">
        <x:v>比率勾稽</x:v>
      </x:c>
    </x:row>
    <x:row r="11" ht="15" hidden="0" customHeight="1">
      <x:c r="A11" s="18" t="str">
        <x:v>人保财险 2024 COR=赔付率+费用率</x:v>
      </x:c>
      <x:c r="B11" s="66" t="n">
        <x:f>'Inputs'!D11</x:f>
        <x:v>0.988</x:v>
      </x:c>
      <x:c r="C11" s="66" t="n">
        <x:f>'Inputs'!E11+'Inputs'!F11</x:f>
        <x:v>0.988</x:v>
      </x:c>
      <x:c r="D11" s="66" t="n">
        <x:f>ABS(B11-C11)</x:f>
        <x:v>0</x:v>
      </x:c>
      <x:c r="E11" s="66" t="n">
        <x:v>0.000001</x:v>
      </x:c>
      <x:c r="F11" s="18" t="str">
        <x:f>IF(D11&lt;=E11,"PASS","FAIL")</x:f>
        <x:v>PASS</x:v>
      </x:c>
      <x:c r="G11" s="18" t="str">
        <x:v>比率勾稽</x:v>
      </x:c>
    </x:row>
    <x:row r="12" ht="15" hidden="0" customHeight="1">
      <x:c r="A12" s="18" t="str">
        <x:v>人保财险 2025 COR=赔付率+费用率</x:v>
      </x:c>
      <x:c r="B12" s="66" t="n">
        <x:f>'Inputs'!D12</x:f>
        <x:v>0.975</x:v>
      </x:c>
      <x:c r="C12" s="66" t="n">
        <x:f>'Inputs'!E12+'Inputs'!F12</x:f>
        <x:v>0.9750000000000001</x:v>
      </x:c>
      <x:c r="D12" s="66" t="n">
        <x:f>ABS(B12-C12)</x:f>
        <x:v>1.1102230246251565e-16</x:v>
      </x:c>
      <x:c r="E12" s="66" t="n">
        <x:v>0.000001</x:v>
      </x:c>
      <x:c r="F12" s="18" t="str">
        <x:f>IF(D12&lt;=E12,"PASS","FAIL")</x:f>
        <x:v>PASS</x:v>
      </x:c>
      <x:c r="G12" s="18" t="str">
        <x:v>比率勾稽</x:v>
      </x:c>
    </x:row>
    <x:row r="13" ht="15" hidden="0" customHeight="1">
      <x:c r="A13" s="18" t="str">
        <x:v>太保产险 2022R COR=赔付率+费用率</x:v>
      </x:c>
      <x:c r="B13" s="66" t="n">
        <x:f>'Inputs'!D13</x:f>
        <x:v>0.9690000000000001</x:v>
      </x:c>
      <x:c r="C13" s="66" t="n">
        <x:f>'Inputs'!E13+'Inputs'!F13</x:f>
        <x:v>0.9690000000000001</x:v>
      </x:c>
      <x:c r="D13" s="66" t="n">
        <x:f>ABS(B13-C13)</x:f>
        <x:v>0</x:v>
      </x:c>
      <x:c r="E13" s="66" t="n">
        <x:v>0.000001</x:v>
      </x:c>
      <x:c r="F13" s="18" t="str">
        <x:f>IF(D13&lt;=E13,"PASS","FAIL")</x:f>
        <x:v>PASS</x:v>
      </x:c>
      <x:c r="G13" s="18" t="str">
        <x:v>比率勾稽</x:v>
      </x:c>
    </x:row>
    <x:row r="14" ht="15" hidden="0" customHeight="1">
      <x:c r="A14" s="18" t="str">
        <x:v>太保产险 2023 COR=赔付率+费用率</x:v>
      </x:c>
      <x:c r="B14" s="66" t="n">
        <x:f>'Inputs'!D14</x:f>
        <x:v>0.977</x:v>
      </x:c>
      <x:c r="C14" s="66" t="n">
        <x:f>'Inputs'!E14+'Inputs'!F14</x:f>
        <x:v>0.977</x:v>
      </x:c>
      <x:c r="D14" s="66" t="n">
        <x:f>ABS(B14-C14)</x:f>
        <x:v>0</x:v>
      </x:c>
      <x:c r="E14" s="66" t="n">
        <x:v>0.000001</x:v>
      </x:c>
      <x:c r="F14" s="18" t="str">
        <x:f>IF(D14&lt;=E14,"PASS","FAIL")</x:f>
        <x:v>PASS</x:v>
      </x:c>
      <x:c r="G14" s="18" t="str">
        <x:v>比率勾稽</x:v>
      </x:c>
    </x:row>
    <x:row r="15" ht="15" hidden="0" customHeight="1">
      <x:c r="A15" s="18" t="str">
        <x:v>太保产险 2024 COR=赔付率+费用率</x:v>
      </x:c>
      <x:c r="B15" s="66" t="n">
        <x:f>'Inputs'!D15</x:f>
        <x:v>0.986</x:v>
      </x:c>
      <x:c r="C15" s="66" t="n">
        <x:f>'Inputs'!E15+'Inputs'!F15</x:f>
        <x:v>0.986</x:v>
      </x:c>
      <x:c r="D15" s="66" t="n">
        <x:f>ABS(B15-C15)</x:f>
        <x:v>0</x:v>
      </x:c>
      <x:c r="E15" s="66" t="n">
        <x:v>0.000001</x:v>
      </x:c>
      <x:c r="F15" s="18" t="str">
        <x:f>IF(D15&lt;=E15,"PASS","FAIL")</x:f>
        <x:v>PASS</x:v>
      </x:c>
      <x:c r="G15" s="18" t="str">
        <x:v>比率勾稽</x:v>
      </x:c>
    </x:row>
    <x:row r="16" ht="15" hidden="0" customHeight="1">
      <x:c r="A16" s="18" t="str">
        <x:v>太保产险 2025 COR=赔付率+费用率</x:v>
      </x:c>
      <x:c r="B16" s="66" t="n">
        <x:f>'Inputs'!D16</x:f>
        <x:v>0.975</x:v>
      </x:c>
      <x:c r="C16" s="66" t="n">
        <x:f>'Inputs'!E16+'Inputs'!F16</x:f>
        <x:v>0.9750000000000001</x:v>
      </x:c>
      <x:c r="D16" s="66" t="n">
        <x:f>ABS(B16-C16)</x:f>
        <x:v>1.1102230246251565e-16</x:v>
      </x:c>
      <x:c r="E16" s="66" t="n">
        <x:v>0.000001</x:v>
      </x:c>
      <x:c r="F16" s="18" t="str">
        <x:f>IF(D16&lt;=E16,"PASS","FAIL")</x:f>
        <x:v>PASS</x:v>
      </x:c>
      <x:c r="G16" s="18" t="str">
        <x:v>比率勾稽</x:v>
      </x:c>
    </x:row>
    <x:row r="17" ht="15" hidden="0" customHeight="1">
      <x:c r="A17" s="18" t="str">
        <x:v>平安产险 2023→2025等于两段合计</x:v>
      </x:c>
      <x:c r="B17" s="66" t="n">
        <x:f>'Annual_Change'!C14</x:f>
        <x:v>3.9000000000000146</x:v>
      </x:c>
      <x:c r="C17" s="66" t="n">
        <x:f>'Annual_Change'!C8+'Annual_Change'!C11</x:f>
        <x:v>3.9000000000000146</x:v>
      </x:c>
      <x:c r="D17" s="66" t="n">
        <x:f>ABS(B17-C17)</x:f>
        <x:v>0</x:v>
      </x:c>
      <x:c r="E17" s="66" t="n">
        <x:v>0.000001</x:v>
      </x:c>
      <x:c r="F17" s="18" t="str">
        <x:f>IF(D17&lt;=E17,"PASS","FAIL")</x:f>
        <x:v>PASS</x:v>
      </x:c>
      <x:c r="G17" s="18" t="str">
        <x:v>期间加总</x:v>
      </x:c>
    </x:row>
    <x:row r="18" ht="15" hidden="0" customHeight="1">
      <x:c r="A18" s="18" t="str">
        <x:v>人保财险 2023→2025等于两段合计</x:v>
      </x:c>
      <x:c r="B18" s="66" t="n">
        <x:f>'Annual_Change'!D14</x:f>
        <x:v>0.30000000000000027</x:v>
      </x:c>
      <x:c r="C18" s="66" t="n">
        <x:f>'Annual_Change'!D8+'Annual_Change'!D11</x:f>
        <x:v>0.30000000000000027</x:v>
      </x:c>
      <x:c r="D18" s="66" t="n">
        <x:f>ABS(B18-C18)</x:f>
        <x:v>0</x:v>
      </x:c>
      <x:c r="E18" s="66" t="n">
        <x:v>0.000001</x:v>
      </x:c>
      <x:c r="F18" s="18" t="str">
        <x:f>IF(D18&lt;=E18,"PASS","FAIL")</x:f>
        <x:v>PASS</x:v>
      </x:c>
      <x:c r="G18" s="18" t="str">
        <x:v>期间加总</x:v>
      </x:c>
    </x:row>
    <x:row r="19" ht="15" hidden="0" customHeight="1">
      <x:c r="A19" s="18" t="str">
        <x:v>太保产险 2023→2025等于两段合计</x:v>
      </x:c>
      <x:c r="B19" s="66" t="n">
        <x:f>'Annual_Change'!E14</x:f>
        <x:v>0.20000000000000018</x:v>
      </x:c>
      <x:c r="C19" s="66" t="n">
        <x:f>'Annual_Change'!E8+'Annual_Change'!E11</x:f>
        <x:v>0.20000000000000018</x:v>
      </x:c>
      <x:c r="D19" s="66" t="n">
        <x:f>ABS(B19-C19)</x:f>
        <x:v>0</x:v>
      </x:c>
      <x:c r="E19" s="66" t="n">
        <x:v>0.000001</x:v>
      </x:c>
      <x:c r="F19" s="18" t="str">
        <x:f>IF(D19&lt;=E19,"PASS","FAIL")</x:f>
        <x:v>PASS</x:v>
      </x:c>
      <x:c r="G19" s="18" t="str">
        <x:v>期间加总</x:v>
      </x:c>
    </x:row>
    <x:row r="20"/>
    <x:row r="21"/>
    <x:row r="22" ht="16.799999237060547" hidden="0" customHeight="1">
      <x:c r="A22" s="11" t="str">
        <x:v>MODEL STATUS</x:v>
      </x:c>
      <x:c r="B22" s="68" t="str">
        <x:f>IF(COUNTIF(F5:F19,"FAIL")=0,"PASS","FAIL")</x:f>
        <x:v>PASS</x:v>
      </x:c>
    </x:row>
  </x:sheetData>
  <x:mergeCells>
    <x:mergeCell ref="A1:G1"/>
    <x:mergeCell ref="A2:G2"/>
  </x:mergeCells>
  <x:conditionalFormatting sqref="F5:F1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3" hidden="0" customWidth="1"/>
    <x:col min="5" max="5" width="14" hidden="0" customWidth="1"/>
    <x:col min="6" max="6" width="26" hidden="0" customWidth="1"/>
    <x:col min="7" max="7" width="72" hidden="0" customWidth="1"/>
    <x:col min="8" max="8" width="28" hidden="0" customWidth="1"/>
  </x:cols>
  <x:sheetData>
    <x:row r="1" ht="21.600000381469727" hidden="0" customHeight="1">
      <x:c r="A1" s="3" t="str">
        <x:v>来源索引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全部数字来自白名单中的公司年报；2022R为重述比较期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4" t="str">
        <x:v>来源ID</x:v>
      </x:c>
      <x:c r="B4" s="14" t="str">
        <x:v>文件</x:v>
      </x:c>
      <x:c r="C4" s="14" t="str">
        <x:v>PDF页码</x:v>
      </x:c>
      <x:c r="D4" s="14" t="str">
        <x:v>报告页码</x:v>
      </x:c>
      <x:c r="E4" s="14" t="str">
        <x:v>期间</x:v>
      </x:c>
      <x:c r="F4" s="14" t="str">
        <x:v>用途</x:v>
      </x:c>
      <x:c r="G4" s="14" t="str">
        <x:v>本地路径</x:v>
      </x:c>
      <x:c r="H4" s="14" t="str">
        <x:v>备注</x:v>
      </x:c>
    </x:row>
    <x:row r="5" ht="15" hidden="0" customHeight="1">
      <x:c r="A5" s="18" t="str">
        <x:v>PA23</x:v>
      </x:c>
      <x:c r="B5" s="18" t="str">
        <x:v>中国平安_年报_2023.pdf</x:v>
      </x:c>
      <x:c r="C5" s="18" t="str">
        <x:v>27</x:v>
      </x:c>
      <x:c r="D5" s="18" t="str">
        <x:v>23</x:v>
      </x:c>
      <x:c r="E5" s="18" t="str">
        <x:v>2022R/2023</x:v>
      </x:c>
      <x:c r="F5" s="18" t="str">
        <x:v>COR、赔付率、费用率</x:v>
      </x:c>
      <x:c r="G5" s="18" t="str">
        <x:v>/Users/arinwu/Downloads/pingan-analysis/00-原始材料/中国平安_年报_2023.pdf</x:v>
      </x:c>
      <x:c r="H5" s="18" t="str">
        <x:v>经营业绩/产险业务分析表</x:v>
      </x:c>
    </x:row>
    <x:row r="6" ht="15" hidden="0" customHeight="1">
      <x:c r="A6" s="18" t="str">
        <x:v>PA24</x:v>
      </x:c>
      <x:c r="B6" s="18" t="str">
        <x:v>中国平安_年报_2024.pdf</x:v>
      </x:c>
      <x:c r="C6" s="18" t="str">
        <x:v>46</x:v>
      </x:c>
      <x:c r="D6" s="18" t="str">
        <x:v>42</x:v>
      </x:c>
      <x:c r="E6" s="18" t="str">
        <x:v>2024</x:v>
      </x:c>
      <x:c r="F6" s="18" t="str">
        <x:v>COR、赔付率、费用率</x:v>
      </x:c>
      <x:c r="G6" s="18" t="str">
        <x:v>/Users/arinwu/Downloads/pingan-analysis/00-原始材料/中国平安_年报_2024.pdf</x:v>
      </x:c>
      <x:c r="H6" s="18" t="str">
        <x:v>经营业绩/产险业务分析表</x:v>
      </x:c>
    </x:row>
    <x:row r="7" ht="15" hidden="0" customHeight="1">
      <x:c r="A7" s="18" t="str">
        <x:v>PA25</x:v>
      </x:c>
      <x:c r="B7" s="18" t="str">
        <x:v>中国平安_年报_2025.pdf</x:v>
      </x:c>
      <x:c r="C7" s="18" t="str">
        <x:v>57</x:v>
      </x:c>
      <x:c r="D7" s="18" t="str">
        <x:v>53</x:v>
      </x:c>
      <x:c r="E7" s="18" t="str">
        <x:v>2025</x:v>
      </x:c>
      <x:c r="F7" s="18" t="str">
        <x:v>COR、赔付率、费用率</x:v>
      </x:c>
      <x:c r="G7" s="18" t="str">
        <x:v>/Users/arinwu/Downloads/pingan-analysis/00-原始材料/中国平安_年报_2025.pdf</x:v>
      </x:c>
      <x:c r="H7" s="18" t="str">
        <x:v>经营业绩/产险业务分析表</x:v>
      </x:c>
    </x:row>
    <x:row r="8" ht="15" hidden="0" customHeight="1">
      <x:c r="A8" s="18" t="str">
        <x:v>PI23</x:v>
      </x:c>
      <x:c r="B8" s="18" t="str">
        <x:v>人保财险_年报_2023.pdf</x:v>
      </x:c>
      <x:c r="C8" s="18" t="str">
        <x:v>13</x:v>
      </x:c>
      <x:c r="D8" s="18" t="str">
        <x:v>11</x:v>
      </x:c>
      <x:c r="E8" s="18" t="str">
        <x:v>2022R/2023</x:v>
      </x:c>
      <x:c r="F8" s="18" t="str">
        <x:v>COR、赔付率、费用率</x:v>
      </x:c>
      <x:c r="G8" s="18" t="str">
        <x:v>/Users/arinwu/Downloads/pingan-analysis/00-原始材料/人保财险_年报_2023.pdf</x:v>
      </x:c>
      <x:c r="H8" s="18" t="str">
        <x:v>承保业绩表</x:v>
      </x:c>
    </x:row>
    <x:row r="9" ht="15" hidden="0" customHeight="1">
      <x:c r="A9" s="18" t="str">
        <x:v>PI24</x:v>
      </x:c>
      <x:c r="B9" s="18" t="str">
        <x:v>人保财险_年报_2024.pdf</x:v>
      </x:c>
      <x:c r="C9" s="18" t="str">
        <x:v>14</x:v>
      </x:c>
      <x:c r="D9" s="18" t="str">
        <x:v>12</x:v>
      </x:c>
      <x:c r="E9" s="18" t="str">
        <x:v>2024</x:v>
      </x:c>
      <x:c r="F9" s="18" t="str">
        <x:v>COR、赔付率、费用率</x:v>
      </x:c>
      <x:c r="G9" s="18" t="str">
        <x:v>/Users/arinwu/Downloads/pingan-analysis/00-原始材料/人保财险_年报_2024.pdf</x:v>
      </x:c>
      <x:c r="H9" s="18" t="str">
        <x:v>承保业绩表</x:v>
      </x:c>
    </x:row>
    <x:row r="10" ht="15" hidden="0" customHeight="1">
      <x:c r="A10" s="18" t="str">
        <x:v>PI25</x:v>
      </x:c>
      <x:c r="B10" s="18" t="str">
        <x:v>人保财险_年报_2025.pdf</x:v>
      </x:c>
      <x:c r="C10" s="18" t="str">
        <x:v>14</x:v>
      </x:c>
      <x:c r="D10" s="18" t="str">
        <x:v>12</x:v>
      </x:c>
      <x:c r="E10" s="18" t="str">
        <x:v>2025</x:v>
      </x:c>
      <x:c r="F10" s="18" t="str">
        <x:v>COR、赔付率、费用率</x:v>
      </x:c>
      <x:c r="G10" s="18" t="str">
        <x:v>/Users/arinwu/Downloads/pingan-analysis/00-原始材料/人保财险_年报_2025.pdf</x:v>
      </x:c>
      <x:c r="H10" s="18" t="str">
        <x:v>承保业绩表</x:v>
      </x:c>
    </x:row>
    <x:row r="11" ht="15" hidden="0" customHeight="1">
      <x:c r="A11" s="18" t="str">
        <x:v>CP23</x:v>
      </x:c>
      <x:c r="B11" s="18" t="str">
        <x:v>中国太保_年报_2023.pdf</x:v>
      </x:c>
      <x:c r="C11" s="18" t="str">
        <x:v>33</x:v>
      </x:c>
      <x:c r="D11" s="18" t="str">
        <x:v>16</x:v>
      </x:c>
      <x:c r="E11" s="18" t="str">
        <x:v>2022R/2023</x:v>
      </x:c>
      <x:c r="F11" s="18" t="str">
        <x:v>COR、赔付率、费用率</x:v>
      </x:c>
      <x:c r="G11" s="18" t="str">
        <x:v>/Users/arinwu/Downloads/pingan-analysis/00-原始材料/中国太保_年报_2023.pdf</x:v>
      </x:c>
      <x:c r="H11" s="18" t="str">
        <x:v>产险业务经营指标</x:v>
      </x:c>
    </x:row>
    <x:row r="12" ht="15" hidden="0" customHeight="1">
      <x:c r="A12" s="18" t="str">
        <x:v>CP24</x:v>
      </x:c>
      <x:c r="B12" s="18" t="str">
        <x:v>中国太保_年报_2024.pdf</x:v>
      </x:c>
      <x:c r="C12" s="18" t="str">
        <x:v>46</x:v>
      </x:c>
      <x:c r="D12" s="18" t="str">
        <x:v>27</x:v>
      </x:c>
      <x:c r="E12" s="18" t="str">
        <x:v>2024</x:v>
      </x:c>
      <x:c r="F12" s="18" t="str">
        <x:v>COR、赔付率、费用率</x:v>
      </x:c>
      <x:c r="G12" s="18" t="str">
        <x:v>/Users/arinwu/Downloads/pingan-analysis/00-原始材料/中国太保_年报_2024.pdf</x:v>
      </x:c>
      <x:c r="H12" s="18" t="str">
        <x:v>产险业务经营指标</x:v>
      </x:c>
    </x:row>
    <x:row r="13" ht="15" hidden="0" customHeight="1">
      <x:c r="A13" s="18" t="str">
        <x:v>CP25</x:v>
      </x:c>
      <x:c r="B13" s="18" t="str">
        <x:v>中国太保_年报_2025.pdf</x:v>
      </x:c>
      <x:c r="C13" s="18" t="str">
        <x:v>44</x:v>
      </x:c>
      <x:c r="D13" s="18" t="str">
        <x:v>27</x:v>
      </x:c>
      <x:c r="E13" s="18" t="str">
        <x:v>2025</x:v>
      </x:c>
      <x:c r="F13" s="18" t="str">
        <x:v>COR、赔付率、费用率</x:v>
      </x:c>
      <x:c r="G13" s="18" t="str">
        <x:v>/Users/arinwu/Downloads/pingan-analysis/00-原始材料/中国太保_年报_2025.pdf</x:v>
      </x:c>
      <x:c r="H13" s="18" t="str">
        <x:v>产险业务经营指标</x:v>
      </x:c>
    </x:row>
    <x:row r="14" ht="15" hidden="0" customHeight="1">
      <x:c r="A14" s="18" t="str">
        <x:v>PA24M</x:v>
      </x:c>
      <x:c r="B14" s="18" t="str">
        <x:v>中国平安_年报_2024.pdf</x:v>
      </x:c>
      <x:c r="C14" s="18" t="str">
        <x:v>44–45</x:v>
      </x:c>
      <x:c r="D14" s="18" t="str">
        <x:v>40</x:v>
      </x:c>
      <x:c r="E14" s="18" t="str">
        <x:v>2024</x:v>
      </x:c>
      <x:c r="F14" s="18" t="str">
        <x:v>车险与新能源结构</x:v>
      </x:c>
      <x:c r="G14" s="18" t="str">
        <x:v>/Users/arinwu/Downloads/pingan-analysis/00-原始材料/中国平安_年报_2024.pdf</x:v>
      </x:c>
      <x:c r="H14" s="18" t="str">
        <x:v>车险经营数据</x:v>
      </x:c>
    </x:row>
    <x:row r="15" ht="15" hidden="0" customHeight="1">
      <x:c r="A15" s="18" t="str">
        <x:v>PA25M</x:v>
      </x:c>
      <x:c r="B15" s="18" t="str">
        <x:v>中国平安_年报_2025.pdf</x:v>
      </x:c>
      <x:c r="C15" s="18" t="str">
        <x:v>54</x:v>
      </x:c>
      <x:c r="D15" s="18" t="str">
        <x:v>50</x:v>
      </x:c>
      <x:c r="E15" s="18" t="str">
        <x:v>2025</x:v>
      </x:c>
      <x:c r="F15" s="18" t="str">
        <x:v>车险与新能源结构</x:v>
      </x:c>
      <x:c r="G15" s="18" t="str">
        <x:v>/Users/arinwu/Downloads/pingan-analysis/00-原始材料/中国平安_年报_2025.pdf</x:v>
      </x:c>
      <x:c r="H15" s="18" t="str">
        <x:v>车险经营数据</x:v>
      </x:c>
    </x:row>
    <x:row r="16" ht="15" hidden="0" customHeight="1">
      <x:c r="A16" s="18" t="str">
        <x:v>PA25P</x:v>
      </x:c>
      <x:c r="B16" s="18" t="str">
        <x:v>中国平安_年报_2025.pdf</x:v>
      </x:c>
      <x:c r="C16" s="18" t="str">
        <x:v>58</x:v>
      </x:c>
      <x:c r="D16" s="18" t="str">
        <x:v>54</x:v>
      </x:c>
      <x:c r="E16" s="18" t="str">
        <x:v>2025</x:v>
      </x:c>
      <x:c r="F16" s="18" t="str">
        <x:v>车险与新能源结构</x:v>
      </x:c>
      <x:c r="G16" s="18" t="str">
        <x:v>/Users/arinwu/Downloads/pingan-analysis/00-原始材料/中国平安_年报_2025.pdf</x:v>
      </x:c>
      <x:c r="H16" s="18" t="str">
        <x:v>原保险保费按险种</x:v>
      </x:c>
    </x:row>
    <x:row r="17" ht="15" hidden="0" customHeight="1">
      <x:c r="A17" s="18" t="str">
        <x:v>PA24S</x:v>
      </x:c>
      <x:c r="B17" s="18" t="str">
        <x:v>中国平安_年报_2024.pdf</x:v>
      </x:c>
      <x:c r="C17" s="18" t="str">
        <x:v>45</x:v>
      </x:c>
      <x:c r="D17" s="18" t="str">
        <x:v>41</x:v>
      </x:c>
      <x:c r="E17" s="18" t="str">
        <x:v>2024</x:v>
      </x:c>
      <x:c r="F17" s="18" t="str">
        <x:v>分险种收入、利润与COR公式</x:v>
      </x:c>
      <x:c r="G17" s="18" t="str">
        <x:v>/Users/arinwu/Downloads/pingan-analysis/00-原始材料/中国平安_年报_2024.pdf</x:v>
      </x:c>
      <x:c r="H17" s="18" t="str">
        <x:v>按险种划分的经营业绩表</x:v>
      </x:c>
    </x:row>
    <x:row r="18" ht="15" hidden="0" customHeight="1">
      <x:c r="A18" s="18" t="str">
        <x:v>PA25S</x:v>
      </x:c>
      <x:c r="B18" s="18" t="str">
        <x:v>中国平安_年报_2025.pdf</x:v>
      </x:c>
      <x:c r="C18" s="18" t="str">
        <x:v>56</x:v>
      </x:c>
      <x:c r="D18" s="18" t="str">
        <x:v>52</x:v>
      </x:c>
      <x:c r="E18" s="18" t="str">
        <x:v>2025</x:v>
      </x:c>
      <x:c r="F18" s="18" t="str">
        <x:v>分险种收入、利润与COR公式</x:v>
      </x:c>
      <x:c r="G18" s="18" t="str">
        <x:v>/Users/arinwu/Downloads/pingan-analysis/00-原始材料/中国平安_年报_2025.pdf</x:v>
      </x:c>
      <x:c r="H18" s="18" t="str">
        <x:v>按险种划分的经营业绩表及COR公式</x:v>
      </x:c>
    </x:row>
    <x:row r="19" ht="15" hidden="0" customHeight="1">
      <x:c r="A19" s="18" t="str">
        <x:v>L23</x:v>
      </x:c>
      <x:c r="B19" s="18" t="str">
        <x:v>平安产险_年度信息披露报告_2023.pdf</x:v>
      </x:c>
      <x:c r="C19" s="18" t="str">
        <x:v>118</x:v>
      </x:c>
      <x:c r="D19" s="18" t="str">
        <x:v>—</x:v>
      </x:c>
      <x:c r="E19" s="18" t="str">
        <x:v>2023</x:v>
      </x:c>
      <x:c r="F19" s="18" t="str">
        <x:v>分部收入与利润</x:v>
      </x:c>
      <x:c r="G19" s="18" t="str">
        <x:v>/Users/arinwu/Downloads/pingan-analysis/00-原始材料/平安产险_年度信息披露报告_2023.pdf</x:v>
      </x:c>
      <x:c r="H19" s="18" t="str">
        <x:v>分部报告（2023年度）</x:v>
      </x:c>
    </x:row>
    <x:row r="20" ht="15" hidden="0" customHeight="1">
      <x:c r="A20" s="18" t="str">
        <x:v>L25A</x:v>
      </x:c>
      <x:c r="B20" s="18" t="str">
        <x:v>平安产险_年度信息披露报告_2025.pdf</x:v>
      </x:c>
      <x:c r="C20" s="18" t="str">
        <x:v>117</x:v>
      </x:c>
      <x:c r="D20" s="18" t="str">
        <x:v>—</x:v>
      </x:c>
      <x:c r="E20" s="18" t="str">
        <x:v>2025</x:v>
      </x:c>
      <x:c r="F20" s="18" t="str">
        <x:v>分部收入与利润</x:v>
      </x:c>
      <x:c r="G20" s="18" t="str">
        <x:v>/Users/arinwu/Downloads/pingan-analysis/00-原始材料/平安产险_年度信息披露报告_2025.pdf</x:v>
      </x:c>
      <x:c r="H20" s="18" t="str">
        <x:v>分部报告（2025年度）</x:v>
      </x:c>
    </x:row>
    <x:row r="21" ht="15" hidden="0" customHeight="1">
      <x:c r="A21" s="18" t="str">
        <x:v>L25B</x:v>
      </x:c>
      <x:c r="B21" s="18" t="str">
        <x:v>平安产险_年度信息披露报告_2025.pdf</x:v>
      </x:c>
      <x:c r="C21" s="18" t="str">
        <x:v>119</x:v>
      </x:c>
      <x:c r="D21" s="18" t="str">
        <x:v>—</x:v>
      </x:c>
      <x:c r="E21" s="18" t="str">
        <x:v>2024比较数</x:v>
      </x:c>
      <x:c r="F21" s="18" t="str">
        <x:v>分部收入与利润</x:v>
      </x:c>
      <x:c r="G21" s="18" t="str">
        <x:v>/Users/arinwu/Downloads/pingan-analysis/00-原始材料/平安产险_年度信息披露报告_2025.pdf</x:v>
      </x:c>
      <x:c r="H21" s="18" t="str">
        <x:v>分部报告（2024年度比较数）</x:v>
      </x:c>
    </x:row>
    <x:row r="22"/>
    <x:row r="23" ht="15" hidden="0" customHeight="1">
      <x:c r="A23" s="18" t="str">
        <x:v>M31</x:v>
      </x:c>
      <x:c r="B23" s="18" t="str">
        <x:v>阶段3-1_COR拆解.md</x:v>
      </x:c>
      <x:c r="C23" s="18" t="str">
        <x:v>—</x:v>
      </x:c>
      <x:c r="D23" s="18" t="str">
        <x:v>—</x:v>
      </x:c>
      <x:c r="E23" s="18" t="str">
        <x:v>2023–2025</x:v>
      </x:c>
      <x:c r="F23" s="18" t="str">
        <x:v>COR费用/赔付拆解</x:v>
      </x:c>
      <x:c r="G23" s="18" t="str">
        <x:v>/Users/arinwu/Downloads/pingan-analysis/04-报告/阶段3-1_COR拆解.md</x:v>
      </x:c>
      <x:c r="H23" s="18" t="str">
        <x:v>已完成阶段</x:v>
      </x:c>
    </x:row>
    <x:row r="24" ht="15" hidden="0" customHeight="1">
      <x:c r="A24" s="18" t="str">
        <x:v>M32</x:v>
      </x:c>
      <x:c r="B24" s="18" t="str">
        <x:v>阶段3-2_保证保险贡献.md</x:v>
      </x:c>
      <x:c r="C24" s="18" t="str">
        <x:v>—</x:v>
      </x:c>
      <x:c r="D24" s="18" t="str">
        <x:v>—</x:v>
      </x:c>
      <x:c r="E24" s="18" t="str">
        <x:v>2023–2025</x:v>
      </x:c>
      <x:c r="F24" s="18" t="str">
        <x:v>保证险贡献</x:v>
      </x:c>
      <x:c r="G24" s="18" t="str">
        <x:v>/Users/arinwu/Downloads/pingan-analysis/04-报告/阶段3-2_保证保险贡献.md</x:v>
      </x:c>
      <x:c r="H24" s="18" t="str">
        <x:v>已完成阶段</x:v>
      </x:c>
    </x:row>
    <x:row r="25" ht="15" hidden="0" customHeight="1">
      <x:c r="A25" s="18" t="str">
        <x:v>M33</x:v>
      </x:c>
      <x:c r="B25" s="18" t="str">
        <x:v>阶段3-3_新能源敏感性.md</x:v>
      </x:c>
      <x:c r="C25" s="18" t="str">
        <x:v>—</x:v>
      </x:c>
      <x:c r="D25" s="18" t="str">
        <x:v>—</x:v>
      </x:c>
      <x:c r="E25" s="18" t="str">
        <x:v>2024–2025</x:v>
      </x:c>
      <x:c r="F25" s="18" t="str">
        <x:v>新能源结构敏感性</x:v>
      </x:c>
      <x:c r="G25" s="18" t="str">
        <x:v>/Users/arinwu/Downloads/pingan-analysis/04-报告/阶段3-3_新能源敏感性.md</x:v>
      </x:c>
      <x:c r="H25" s="18" t="str">
        <x:v>用户确认x=0–5.44pp</x:v>
      </x:c>
    </x:row>
    <x:row r="26" ht="15" hidden="0" customHeight="1">
      <x:c r="A26" s="18" t="str">
        <x:v>M34</x:v>
      </x:c>
      <x:c r="B26" s="18" t="str">
        <x:v>阶段3-4_非车反向压力.md</x:v>
      </x:c>
      <x:c r="C26" s="18" t="str">
        <x:v>—</x:v>
      </x:c>
      <x:c r="D26" s="18" t="str">
        <x:v>—</x:v>
      </x:c>
      <x:c r="E26" s="18" t="str">
        <x:v>2024–2025</x:v>
      </x:c>
      <x:c r="F26" s="18" t="str">
        <x:v>非车压力桥接</x:v>
      </x:c>
      <x:c r="G26" s="18" t="str">
        <x:v>/Users/arinwu/Downloads/pingan-analysis/04-报告/阶段3-4_非车反向压力.md</x:v>
      </x:c>
      <x:c r="H26" s="18" t="str">
        <x:v>已完成阶段</x:v>
      </x:c>
    </x:row>
  </x:sheetData>
  <x:mergeCells>
    <x:mergeCell ref="A1:H1"/>
    <x:mergeCell ref="A2:H2"/>
  </x:mergeCells>
  <x:pageMargins left="0.7" right="0.7" top="0.75" bottom="0.75" header="0.3" footer="0.3"/>
</x:worksheet>
</file>