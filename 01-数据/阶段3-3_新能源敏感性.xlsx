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3f19e871f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6c7209932f45f8"/>
    <x:sheet xmlns:r="http://schemas.openxmlformats.org/officeDocument/2006/relationships" name="Assumptions" sheetId="2" r:id="R99dd9dd6b0034f0f"/>
    <x:sheet xmlns:r="http://schemas.openxmlformats.org/officeDocument/2006/relationships" name="Sensitivity" sheetId="3" r:id="R6e564d04b2ae4d15"/>
    <x:sheet xmlns:r="http://schemas.openxmlformats.org/officeDocument/2006/relationships" name="Checks" sheetId="4" r:id="R07bf4992e4c14563"/>
    <x:sheet xmlns:r="http://schemas.openxmlformats.org/officeDocument/2006/relationships" name="Sources" sheetId="5" r:id="R4cd6da9a084547e5"/>
  </x:sheets>
</x:workbook>
</file>

<file path=xl/comments1.xml><?xml version="1.0" encoding="utf-8"?>
<x:comments xmlns:x="http://schemas.openxmlformats.org/spreadsheetml/2006/main">
  <x:authors>
    <x:author>tc={F09D5E9A-47FF-3B5F-7F5D-22173132DE75}</x:author>
    <x:author>tc={8956B32F-9A00-71D1-4A9E-4EED2321F243}</x:author>
    <x:author>tc={5BA7B3C3-154E-E6E4-E624-29ACB136CC86}</x:author>
    <x:author>tc={9F7863DE-F472-236E-61A5-E2FC84D6416E}</x:author>
    <x:author>tc={5E521BCC-2AAF-0E6B-1733-ED1975880678}</x:author>
    <x:author>tc={20355251-EF94-1A52-D2AB-F8B5A9CA5F5E}</x:author>
    <x:author>tc={00FB49E8-0E2D-54C4-AB55-C2C70DEB702C}</x:author>
    <x:author>tc={AF34FB73-FD06-6E93-E4EA-8EAB07B70F7C}</x:author>
    <x:author>tc={8C5D20C1-53D1-D0DE-FA4A-E26D4C28536F}</x:author>
    <x:author>tc={42F9241F-F340-B6D1-FB46-7A9F6B2156E6}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中国平安_年报_2025.pdf，PDF第54页（报告印刷页码50），车险经营数据；2025新能源车险保费52,480百万元。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中国平安_年报_2025.pdf，PDF第58页（报告印刷页码54），原保险保费按险种；2025车险原保险保费230,362百万元。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中国平安_年报_2025.pdf，PDF第54页（报告印刷页码50），车险经营数据；新能源车险保费同比增长39.0%。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中国平安_年报_2025.pdf，PDF第58页（报告印刷页码54），原保险保费按险种；2024比较数223,301百万元。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中国平安_年报_2024.pdf，PDF第44–45页（报告印刷页码40–41），车险经营数据；2024车险综合成本率98.1%。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中国平安_年报_2025.pdf，PDF第54页（报告印刷页码50），车险经营数据；2025车险综合成本率95.8%。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中国平安_年报_2025.pdf，PDF第54页（报告印刷页码50），车险经营数据；披露“新能源车险业务实现承保盈利”。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用户于2026-08-15确认：x下限为0pp。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用户于2026-08-15确认：x上限为5.44pp；这是两类COR差距上限。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模型定义：占比每增加1个百分点，权重变化为1%=0.01。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%"/>
    <x:numFmt numFmtId="201" formatCode="0.0000"/>
    <x:numFmt numFmtId="202" formatCode="#,##0"/>
    <x:numFmt numFmtId="203" formatCode="0.0%"/>
    <x:numFmt numFmtId="204" formatCode="0.00"/>
    <x:numFmt numFmtId="205" formatCode="0.0000%"/>
    <x:numFmt numFmtId="206" formatCode="#,##0.0000"/>
    <x:numFmt numFmtId="207" formatCode="0.00&quot; pp&quot;"/>
    <x:numFmt numFmtId="208" formatCode="0%"/>
    <x:numFmt numFmtId="209" formatCode="0.000"/>
    <x:numFmt numFmtId="210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4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5" borderId="0" xfId="0" applyNumberFormat="1" applyFont="1" applyFill="1" applyBorder="1"/>
    <x:xf numFmtId="200" fontId="0" fillId="5" borderId="0" xfId="0" applyNumberFormat="1" applyFont="1" applyFill="1" applyBorder="1"/>
    <x:xf numFmtId="204" fontId="5" fillId="5" borderId="0" xfId="0" applyNumberFormat="1" applyFont="1" applyFill="1" applyBorder="1"/>
    <x:xf numFmtId="200" fontId="5" fillId="5" borderId="0" xfId="0" applyNumberFormat="1" applyFont="1" applyFill="1" applyBorder="1"/>
    <x:xf numFmtId="204" fontId="5" fillId="5" borderId="9" xfId="0" applyNumberFormat="1" applyFont="1" applyFill="1" applyBorder="1"/>
    <x:xf numFmtId="200" fontId="5" fillId="5" borderId="9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5" fillId="5" borderId="2" xfId="0" applyNumberFormat="1" applyFont="1" applyFill="1" applyBorder="1"/>
    <x:xf numFmtId="200" fontId="5" fillId="5" borderId="2" xfId="0" applyNumberFormat="1" applyFont="1" applyFill="1" applyBorder="1"/>
    <x:xf numFmtId="202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4" fontId="5" fillId="5" borderId="2" xfId="0" applyNumberFormat="1" applyFont="1" applyFill="1" applyBorder="1" applyAlignment="1">
      <x:alignment vertical="center"/>
    </x:xf>
    <x:xf numFmtId="200" fontId="5" fillId="5" borderId="2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/>
    <x:xf numFmtId="205" fontId="6" fillId="0" borderId="2" xfId="0" applyNumberFormat="1" applyFont="1" applyFill="1" applyBorder="1"/>
    <x:xf numFmtId="201" fontId="6" fillId="0" borderId="2" xfId="0" applyNumberFormat="1" applyFont="1" applyFill="1" applyBorder="1"/>
    <x:xf numFmtId="203" fontId="6" fillId="0" borderId="2" xfId="0" applyNumberFormat="1" applyFont="1" applyFill="1" applyBorder="1"/>
    <x:xf numFmtId="206" fontId="6" fillId="0" borderId="2" xfId="0" applyNumberFormat="1" applyFont="1" applyFill="1" applyBorder="1" applyAlignment="1">
      <x:alignment vertical="center"/>
    </x:xf>
    <x:xf numFmtId="205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0" fontId="3" fillId="4" borderId="2" xfId="0" applyNumberFormat="1" applyFont="1" applyFill="1" applyBorder="1" applyAlignment="1">
      <x:alignment vertical="center" wrapText="1"/>
    </x:xf>
    <x:xf numFmtId="207" fontId="0" fillId="0" borderId="2" xfId="0" applyNumberFormat="1" applyFont="1" applyFill="1" applyBorder="1"/>
    <x:xf numFmtId="201" fontId="0" fillId="0" borderId="2" xfId="0" applyNumberFormat="1" applyFont="1" applyFill="1" applyBorder="1"/>
    <x:xf numFmtId="207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/>
    <x:xf numFmtId="205" fontId="7" fillId="0" borderId="2" xfId="0" applyNumberFormat="1" applyFont="1" applyFill="1" applyBorder="1"/>
    <x:xf numFmtId="205" fontId="7" fillId="0" borderId="2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/>
    <x:xf numFmtId="0" fontId="0" fillId="5" borderId="9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8" fontId="0" fillId="0" borderId="2" xfId="0" applyNumberFormat="1" applyFont="1" applyFill="1" applyBorder="1"/>
    <x:xf numFmtId="209" fontId="0" fillId="0" borderId="2" xfId="0" applyNumberFormat="1" applyFont="1" applyFill="1" applyBorder="1"/>
    <x:xf numFmtId="208" fontId="0" fillId="0" borderId="2" xfId="0" applyNumberFormat="1" applyFont="1" applyFill="1" applyBorder="1" applyAlignment="1">
      <x:alignment vertical="center"/>
    </x:xf>
    <x:xf numFmtId="209" fontId="0" fillId="0" borderId="2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/>
    <x:xf numFmtId="210" fontId="0" fillId="0" borderId="2" xfId="0" applyNumberFormat="1" applyFont="1" applyFill="1" applyBorder="1"/>
    <x:xf numFmtId="210" fontId="0" fillId="0" borderId="2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13296b81b438f" /><Relationship Type="http://schemas.openxmlformats.org/officeDocument/2006/relationships/theme" Target="/xl/theme/theme1.xml" Id="Rdbb412ced01f4e1f" /><Relationship Type="http://schemas.openxmlformats.org/officeDocument/2006/relationships/sharedStrings" Target="/xl/sharedStrings.xml" Id="R90b59cc782b546fe" /><Relationship Type="http://schemas.openxmlformats.org/officeDocument/2006/relationships/worksheet" Target="/xl/worksheets/sheet1.xml" Id="R986c7209932f45f8" /><Relationship Type="http://schemas.openxmlformats.org/officeDocument/2006/relationships/worksheet" Target="/xl/worksheets/sheet2.xml" Id="R99dd9dd6b0034f0f" /><Relationship Type="http://schemas.openxmlformats.org/officeDocument/2006/relationships/worksheet" Target="/xl/worksheets/sheet3.xml" Id="R6e564d04b2ae4d15" /><Relationship Type="http://schemas.openxmlformats.org/officeDocument/2006/relationships/worksheet" Target="/xl/worksheets/sheet4.xml" Id="R07bf4992e4c14563" /><Relationship Type="http://schemas.openxmlformats.org/officeDocument/2006/relationships/worksheet" Target="/xl/worksheets/sheet5.xml" Id="R4cd6da9a084547e5" /><Relationship Type="http://schemas.microsoft.com/office/2017/10/relationships/person" Target="/xl/persons/person.xml" Id="Ra00ccd84cedc44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0a282c63a04f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新能源占比提升对整体车险COR的敏感性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x=1pp</c:v>
          </c:tx>
          <c:marker>
            <c:symbol val="none"/>
          </c:marker>
          <c:cat>
            <c:strRef>
              <c:f>'Sensitivity'!$K$5:$K$15</c:f>
              <c:strCache>
                <c:ptCount val="0"/>
              </c:strCache>
            </c:strRef>
          </c:cat>
          <c:val>
            <c:numRef>
              <c:f>'Sensitivity'!$L$5:$L$15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x=3pp</c:v>
          </c:tx>
          <c:marker>
            <c:symbol val="none"/>
          </c:marker>
          <c:cat>
            <c:strRef>
              <c:f>'Sensitivity'!$K$5:$K$15</c:f>
              <c:strCache>
                <c:ptCount val="0"/>
              </c:strCache>
            </c:strRef>
          </c:cat>
          <c:val>
            <c:numRef>
              <c:f>'Sensitivity'!$M$5:$M$15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x=5.44pp</c:v>
          </c:tx>
          <c:marker>
            <c:symbol val="none"/>
          </c:marker>
          <c:cat>
            <c:strRef>
              <c:f>'Sensitivity'!$K$5:$K$15</c:f>
              <c:strCache>
                <c:ptCount val="0"/>
              </c:strCache>
            </c:strRef>
          </c:cat>
          <c:val>
            <c:numRef>
              <c:f>'Sensitivity'!$N$5:$N$15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新能源保费占比提升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整体COR拖累（百分点）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0a282c63a04fd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AC56EF8-17DF-47D4-933C-2EA77160E1E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15T09:07:17.34" personId="{1AC56EF8-17DF-47D4-933C-2EA77160E1E6}" id="{F09D5E9A-47FF-3B5F-7F5D-22173132DE75}">
    <xltc:text>中国平安_年报_2025.pdf，PDF第54页（报告印刷页码50），车险经营数据；2025新能源车险保费52,480百万元。</xltc:text>
  </xltc:threadedComment>
  <xltc:threadedComment ref="B6" dT="2026-08-15T09:07:17.344" personId="{1AC56EF8-17DF-47D4-933C-2EA77160E1E6}" id="{8956B32F-9A00-71D1-4A9E-4EED2321F243}">
    <xltc:text>中国平安_年报_2025.pdf，PDF第58页（报告印刷页码54），原保险保费按险种；2025车险原保险保费230,362百万元。</xltc:text>
  </xltc:threadedComment>
  <xltc:threadedComment ref="B7" dT="2026-08-15T09:07:17.344" personId="{1AC56EF8-17DF-47D4-933C-2EA77160E1E6}" id="{5BA7B3C3-154E-E6E4-E624-29ACB136CC86}">
    <xltc:text>中国平安_年报_2025.pdf，PDF第54页（报告印刷页码50），车险经营数据；新能源车险保费同比增长39.0%。</xltc:text>
  </xltc:threadedComment>
  <xltc:threadedComment ref="B8" dT="2026-08-15T09:07:17.344" personId="{1AC56EF8-17DF-47D4-933C-2EA77160E1E6}" id="{9F7863DE-F472-236E-61A5-E2FC84D6416E}">
    <xltc:text>中国平安_年报_2025.pdf，PDF第58页（报告印刷页码54），原保险保费按险种；2024比较数223,301百万元。</xltc:text>
  </xltc:threadedComment>
  <xltc:threadedComment ref="B9" dT="2026-08-15T09:07:17.344" personId="{1AC56EF8-17DF-47D4-933C-2EA77160E1E6}" id="{5E521BCC-2AAF-0E6B-1733-ED1975880678}">
    <xltc:text>中国平安_年报_2024.pdf，PDF第44–45页（报告印刷页码40–41），车险经营数据；2024车险综合成本率98.1%。</xltc:text>
  </xltc:threadedComment>
  <xltc:threadedComment ref="B10" dT="2026-08-15T09:07:17.344" personId="{1AC56EF8-17DF-47D4-933C-2EA77160E1E6}" id="{20355251-EF94-1A52-D2AB-F8B5A9CA5F5E}">
    <xltc:text>中国平安_年报_2025.pdf，PDF第54页（报告印刷页码50），车险经营数据；2025车险综合成本率95.8%。</xltc:text>
  </xltc:threadedComment>
  <xltc:threadedComment ref="B11" dT="2026-08-15T09:07:17.344" personId="{1AC56EF8-17DF-47D4-933C-2EA77160E1E6}" id="{00FB49E8-0E2D-54C4-AB55-C2C70DEB702C}">
    <xltc:text>中国平安_年报_2025.pdf，PDF第54页（报告印刷页码50），车险经营数据；披露“新能源车险业务实现承保盈利”。</xltc:text>
  </xltc:threadedComment>
  <xltc:threadedComment ref="B12" dT="2026-08-15T09:07:17.345" personId="{1AC56EF8-17DF-47D4-933C-2EA77160E1E6}" id="{AF34FB73-FD06-6E93-E4EA-8EAB07B70F7C}">
    <xltc:text>用户于2026-08-15确认：x下限为0pp。</xltc:text>
  </xltc:threadedComment>
  <xltc:threadedComment ref="B13" dT="2026-08-15T09:07:17.345" personId="{1AC56EF8-17DF-47D4-933C-2EA77160E1E6}" id="{8C5D20C1-53D1-D0DE-FA4A-E26D4C28536F}">
    <xltc:text>用户于2026-08-15确认：x上限为5.44pp；这是两类COR差距上限。</xltc:text>
  </xltc:threadedComment>
  <xltc:threadedComment ref="B14" dT="2026-08-15T09:07:17.345" personId="{1AC56EF8-17DF-47D4-933C-2EA77160E1E6}" id="{42F9241F-F340-B6D1-FB46-7A9F6B2156E6}">
    <xltc:text>模型定义：占比每增加1个百分点，权重变化为1%=0.01。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e49ffae08a54020" /><Relationship Type="http://schemas.openxmlformats.org/officeDocument/2006/relationships/vmlDrawing" Target="/xl/drawings/vmldrawing.vml" Id="R6f4f3387742644c6" /><Relationship Type="http://schemas.microsoft.com/office/2017/10/relationships/threadedComment" Target="/xl/threadedcomments/threadedcomment.xml" Id="R35c74274b8e547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a3dec178eb14c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0" hidden="0" customWidth="1"/>
    <x:col min="4" max="4" width="34" hidden="0" customWidth="1"/>
    <x:col min="5" max="5" width="17" hidden="0" customWidth="1"/>
    <x:col min="6" max="6" width="28" hidden="0" customWidth="1"/>
    <x:col min="7" max="7" width="34" hidden="0" customWidth="1"/>
    <x:col min="8" max="8" width="16" hidden="0" customWidth="1"/>
  </x:cols>
  <x:sheetData>
    <x:row r="1" ht="21.600000381469727" hidden="0" customHeight="1">
      <x:c r="A1" s="3" t="str">
        <x:v>阶段3-3｜新能源车结构性成本敏感性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口径：保费占比代理承保占比；x=新能源车COR−燃油车COR；用户已确认 x=0–5.44个百分点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6" t="str">
        <x:v>指标</x:v>
      </x:c>
      <x:c r="B4" s="16" t="str">
        <x:v>结果</x:v>
      </x:c>
      <x:c r="C4" s="16" t="str">
        <x:v>单位</x:v>
      </x:c>
      <x:c r="D4" s="16" t="str">
        <x:v>公式/口径</x:v>
      </x:c>
      <x:c r="E4" s="16" t="str">
        <x:v>状态</x:v>
      </x:c>
      <x:c r="F4" s="16" t="str">
        <x:v>结论</x:v>
      </x:c>
      <x:c r="G4" s="16" t="str">
        <x:v>风险提示</x:v>
      </x:c>
      <x:c r="H4" s="16" t="str">
        <x:v>来源</x:v>
      </x:c>
    </x:row>
    <x:row r="5" ht="15" hidden="0" customHeight="1">
      <x:c r="A5" s="20" t="str">
        <x:v>2025新能源车险保费占比</x:v>
      </x:c>
      <x:c r="B5" s="21" t="n">
        <x:f>'Assumptions'!B21</x:f>
        <x:v>0.22781535149026316</x:v>
      </x:c>
      <x:c r="C5" s="20" t="str">
        <x:v>%</x:v>
      </x:c>
      <x:c r="D5" s="20" t="str">
        <x:v>新能源保费/车险保费</x:v>
      </x:c>
      <x:c r="E5" s="20" t="str">
        <x:v>披露+推算</x:v>
      </x:c>
      <x:c r="F5" s="20" t="str">
        <x:v>新能源占比已超过两成</x:v>
      </x:c>
      <x:c r="G5" s="20" t="str">
        <x:v>保费占比并非车辆数占比</x:v>
      </x:c>
      <x:c r="H5" s="20" t="str">
        <x:v>S1/S2</x:v>
      </x:c>
    </x:row>
    <x:row r="6" ht="15" hidden="0" customHeight="1">
      <x:c r="A6" s="20" t="str">
        <x:v>2024新能源车险保费占比（重构）</x:v>
      </x:c>
      <x:c r="B6" s="21" t="n">
        <x:f>'Assumptions'!B20</x:f>
        <x:v>0.16907848905044418</x:v>
      </x:c>
      <x:c r="C6" s="20" t="str">
        <x:v>%</x:v>
      </x:c>
      <x:c r="D6" s="20" t="str">
        <x:v>2025新能源保费/(1+39%)/2024车险保费</x:v>
      </x:c>
      <x:c r="E6" s="20" t="str">
        <x:v>推算</x:v>
      </x:c>
      <x:c r="F6" s="20" t="str">
        <x:v>同比口径反推</x:v>
      </x:c>
      <x:c r="G6" s="20" t="str">
        <x:v>重构值受同比四舍五入影响</x:v>
      </x:c>
      <x:c r="H6" s="20" t="str">
        <x:v>S1/S2</x:v>
      </x:c>
    </x:row>
    <x:row r="7" ht="15" hidden="0" customHeight="1">
      <x:c r="A7" s="20" t="str">
        <x:v>2024→2025占比提升</x:v>
      </x:c>
      <x:c r="B7" s="21" t="n">
        <x:f>'Assumptions'!B22</x:f>
        <x:v>0.05873686243981899</x:v>
      </x:c>
      <x:c r="C7" s="20" t="str">
        <x:v>pct</x:v>
      </x:c>
      <x:c r="D7" s="20" t="str">
        <x:v>2025占比−2024占比</x:v>
      </x:c>
      <x:c r="E7" s="20" t="str">
        <x:v>推算</x:v>
      </x:c>
      <x:c r="F7" s="20" t="str">
        <x:v>两年提升约5.87pct</x:v>
      </x:c>
      <x:c r="G7" s="20" t="str">
        <x:v>结构变化非因果识别</x:v>
      </x:c>
      <x:c r="H7" s="20" t="str">
        <x:v>S1/S2</x:v>
      </x:c>
    </x:row>
    <x:row r="8" ht="15" hidden="0" customHeight="1">
      <x:c r="A8" s="20" t="str">
        <x:v>每+1pct占比的COR拖累</x:v>
      </x:c>
      <x:c r="B8" s="22" t="n">
        <x:f>'Assumptions'!B24</x:f>
        <x:v>0.054400000000000004</x:v>
      </x:c>
      <x:c r="C8" s="20" t="str">
        <x:v>pp</x:v>
      </x:c>
      <x:c r="D8" s="20" t="str">
        <x:v>1%×x上限</x:v>
      </x:c>
      <x:c r="E8" s="20" t="str">
        <x:v>用户确认情景</x:v>
      </x:c>
      <x:c r="F8" s="20" t="str">
        <x:v>区间为0–0.0544pp</x:v>
      </x:c>
      <x:c r="G8" s="20" t="str">
        <x:v>5.44是两类COR差距，不是整体拖累</x:v>
      </x:c>
      <x:c r="H8" s="20" t="str">
        <x:v>A1</x:v>
      </x:c>
    </x:row>
    <x:row r="9" ht="15" hidden="0" customHeight="1">
      <x:c r="A9" s="20" t="str">
        <x:v>实际占比变化对应累计拖累</x:v>
      </x:c>
      <x:c r="B9" s="22" t="n">
        <x:f>'Assumptions'!B25</x:f>
        <x:v>0.3195285316726153</x:v>
      </x:c>
      <x:c r="C9" s="20" t="str">
        <x:v>pp</x:v>
      </x:c>
      <x:c r="D9" s="20" t="str">
        <x:v>占比提升×x上限</x:v>
      </x:c>
      <x:c r="E9" s="20" t="str">
        <x:v>敏感性结果</x:v>
      </x:c>
      <x:c r="F9" s="20" t="str">
        <x:v>区间为0–约0.3195pp</x:v>
      </x:c>
      <x:c r="G9" s="20" t="str">
        <x:v>未控制定价、出险率与车型变化</x:v>
      </x:c>
      <x:c r="H9" s="20" t="str">
        <x:v>S1/S2/A1</x:v>
      </x:c>
    </x:row>
    <x:row r="10" ht="15" hidden="0" customHeight="1">
      <x:c r="A10" s="20" t="str">
        <x:v>扣除结构拖累后的底层改善</x:v>
      </x:c>
      <x:c r="B10" s="22" t="n">
        <x:f>'Assumptions'!B27</x:f>
        <x:v>2.6195285316726173</x:v>
      </x:c>
      <x:c r="C10" s="20" t="str">
        <x:v>pp</x:v>
      </x:c>
      <x:c r="D10" s="20" t="str">
        <x:v>已报告改善+结构拖累</x:v>
      </x:c>
      <x:c r="E10" s="20" t="str">
        <x:v>敏感性结果</x:v>
      </x:c>
      <x:c r="F10" s="20" t="str">
        <x:v>区间为2.30–约2.62pp</x:v>
      </x:c>
      <x:c r="G10" s="20" t="str">
        <x:v>用于桥接解释，不替代精算拆分</x:v>
      </x:c>
      <x:c r="H10" s="20" t="str">
        <x:v>S1/S2/S3/A1</x:v>
      </x:c>
    </x:row>
    <x:row r="11"/>
    <x:row r="12" ht="15" hidden="0" customHeight="1">
      <x:c r="A12" s="11" t="str">
        <x:v>核心判断</x:v>
      </x:c>
      <x:c r="B12" s="11"/>
      <x:c r="C12" s="11"/>
      <x:c r="D12" s="11"/>
      <x:c r="E12" s="11"/>
      <x:c r="F12" s="11"/>
      <x:c r="G12" s="11"/>
      <x:c r="H12" s="11"/>
    </x:row>
    <x:row r="13" ht="34" hidden="0" customHeight="1">
      <x:c r="A13" s="24" t="str">
        <x:v>1. x=5.44pp 时，占比每提高1pct，整体车险COR提高0.0544pp；这是乘法关系：1%×5.44pp。</x:v>
      </x:c>
      <x:c r="B13" s="24"/>
      <x:c r="C13" s="24"/>
      <x:c r="D13" s="24"/>
      <x:c r="E13" s="24"/>
      <x:c r="F13" s="24"/>
      <x:c r="G13" s="24"/>
      <x:c r="H13" s="24"/>
    </x:row>
    <x:row r="14" ht="34" hidden="0" customHeight="1">
      <x:c r="A14" s="24" t="str">
        <x:v>2. 2024→2025新能源保费占比提高约5.87pct，累计结构拖累为0–约0.3195pp。</x:v>
      </x:c>
      <x:c r="B14" s="24"/>
      <x:c r="C14" s="24"/>
      <x:c r="D14" s="24"/>
      <x:c r="E14" s="24"/>
      <x:c r="F14" s="24"/>
      <x:c r="G14" s="24"/>
      <x:c r="H14" s="24"/>
    </x:row>
    <x:row r="15" ht="34" hidden="0" customHeight="1">
      <x:c r="A15" s="24" t="str">
        <x:v>3. 同期车险COR实际改善2.30pp，说明其他因素带来的底层改善约2.30–2.62pp，新能源结构只是抵消其中一部分。</x:v>
      </x:c>
      <x:c r="B15" s="24"/>
      <x:c r="C15" s="24"/>
      <x:c r="D15" s="24"/>
      <x:c r="E15" s="24"/>
      <x:c r="F15" s="24"/>
      <x:c r="G15" s="24"/>
      <x:c r="H15" s="24"/>
    </x:row>
    <x:row r="16" ht="34" hidden="0" customHeight="1">
      <x:c r="A16" s="24" t="str">
        <x:v>4. 5.44pp是由‘新能源业务承保盈利’+保费权重近似得到的条件上限，并非公司披露或实测的新能源/燃油车COR差。</x:v>
      </x:c>
      <x:c r="B16" s="24"/>
      <x:c r="C16" s="24"/>
      <x:c r="D16" s="24"/>
      <x:c r="E16" s="24"/>
      <x:c r="F16" s="24"/>
      <x:c r="G16" s="24"/>
      <x:c r="H16" s="24"/>
    </x:row>
    <x:row r="17" ht="34" customHeight="1"/>
    <x:row r="18" ht="34" hidden="0" customHeight="1">
      <x:c r="A18" s="11" t="str">
        <x:v>情景假设确认状态</x:v>
      </x:c>
      <x:c r="B18" s="11"/>
      <x:c r="C18" s="11"/>
      <x:c r="D18" s="11"/>
      <x:c r="E18" s="11"/>
      <x:c r="F18" s="11"/>
      <x:c r="G18" s="11"/>
      <x:c r="H18" s="11"/>
    </x:row>
    <x:row r="19" ht="34" hidden="0" customHeight="1">
      <x:c r="A19" s="32" t="str">
        <x:v>【假设：新能源车COR−燃油车COR取0–5.44个百分点｜依据：用户确认的宽区间；上限为基于2025承保盈利状态与保费权重的条件边界｜影响：每1pct占比提升使整体车险COR增加0–0.0544pp｜需我确认】</x:v>
      </x:c>
      <x:c r="B19" s="33"/>
      <x:c r="C19" s="33"/>
      <x:c r="D19" s="33"/>
      <x:c r="E19" s="33"/>
      <x:c r="F19" s="33"/>
      <x:c r="G19" s="33"/>
      <x:c r="H19" s="34"/>
    </x:row>
    <x:row r="20" ht="34" hidden="0" customHeight="1">
      <x:c r="A20" s="35" t="str">
        <x:v>确认状态：用户已于2026-08-15明确确认，模型据此执行。</x:v>
      </x:c>
      <x:c r="B20" s="36"/>
      <x:c r="C20" s="36"/>
      <x:c r="D20" s="36"/>
      <x:c r="E20" s="36"/>
      <x:c r="F20" s="36"/>
      <x:c r="G20" s="36"/>
      <x:c r="H20" s="37"/>
    </x:row>
  </x:sheetData>
  <x:mergeCells>
    <x:mergeCell ref="A1:H1"/>
    <x:mergeCell ref="A2:H2"/>
    <x:mergeCell ref="A12:H12"/>
    <x:mergeCell ref="A13:H13"/>
    <x:mergeCell ref="A14:H14"/>
    <x:mergeCell ref="A15:H15"/>
    <x:mergeCell ref="A16:H16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2" hidden="0" customWidth="1"/>
    <x:col min="4" max="4" width="18" hidden="0" customWidth="1"/>
    <x:col min="5" max="5" width="16" hidden="0" customWidth="1"/>
    <x:col min="6" max="6" width="42" hidden="0" customWidth="1"/>
  </x:cols>
  <x:sheetData>
    <x:row r="1" ht="21.600000381469727" hidden="0" customHeight="1">
      <x:c r="A1" s="3" t="str">
        <x:v>输入、假设与派生口径</x:v>
      </x:c>
      <x:c r="B1" s="3"/>
      <x:c r="C1" s="3"/>
      <x:c r="D1" s="3"/>
      <x:c r="E1" s="3"/>
      <x:c r="F1" s="3"/>
    </x:row>
    <x:row r="2" ht="15" hidden="0" customHeight="1">
      <x:c r="A2" s="6" t="str">
        <x:v>蓝字黄底为用户可编辑情景；绿色公式为跨表链接/派生结果；所有金额单位为人民币百万元</x:v>
      </x:c>
      <x:c r="B2" s="6"/>
      <x:c r="C2" s="6"/>
      <x:c r="D2" s="6"/>
      <x:c r="E2" s="6"/>
      <x:c r="F2" s="6"/>
    </x:row>
    <x:row r="3"/>
    <x:row r="4" ht="15" hidden="0" customHeight="1">
      <x:c r="A4" s="16" t="str">
        <x:v>指标</x:v>
      </x:c>
      <x:c r="B4" s="16" t="str">
        <x:v>数值</x:v>
      </x:c>
      <x:c r="C4" s="16" t="str">
        <x:v>单位</x:v>
      </x:c>
      <x:c r="D4" s="16" t="str">
        <x:v>类型</x:v>
      </x:c>
      <x:c r="E4" s="16" t="str">
        <x:v>来源ID</x:v>
      </x:c>
      <x:c r="F4" s="16" t="str">
        <x:v>说明</x:v>
      </x:c>
    </x:row>
    <x:row r="5" ht="15" hidden="0" customHeight="1">
      <x:c r="A5" s="20" t="str">
        <x:v>2025新能源车险保费</x:v>
      </x:c>
      <x:c r="B5" s="57" t="n">
        <x:v>52480</x:v>
      </x:c>
      <x:c r="C5" s="20" t="str">
        <x:v>百万元</x:v>
      </x:c>
      <x:c r="D5" s="20" t="str">
        <x:v>公开披露</x:v>
      </x:c>
      <x:c r="E5" s="20" t="str">
        <x:v>S1</x:v>
      </x:c>
      <x:c r="F5" s="20" t="str">
        <x:v>同比增长39.0%</x:v>
      </x:c>
    </x:row>
    <x:row r="6" ht="15" hidden="0" customHeight="1">
      <x:c r="A6" s="20" t="str">
        <x:v>2025车险原保险保费</x:v>
      </x:c>
      <x:c r="B6" s="57" t="n">
        <x:v>230362</x:v>
      </x:c>
      <x:c r="C6" s="20" t="str">
        <x:v>百万元</x:v>
      </x:c>
      <x:c r="D6" s="20" t="str">
        <x:v>公开披露</x:v>
      </x:c>
      <x:c r="E6" s="20" t="str">
        <x:v>S2</x:v>
      </x:c>
      <x:c r="F6" s="20" t="str">
        <x:v>险种口径</x:v>
      </x:c>
    </x:row>
    <x:row r="7" ht="15" hidden="0" customHeight="1">
      <x:c r="A7" s="20" t="str">
        <x:v>2025新能源车险保费同比</x:v>
      </x:c>
      <x:c r="B7" s="58" t="n">
        <x:v>0.39</x:v>
      </x:c>
      <x:c r="C7" s="20" t="str">
        <x:v>%</x:v>
      </x:c>
      <x:c r="D7" s="20" t="str">
        <x:v>公开披露</x:v>
      </x:c>
      <x:c r="E7" s="20" t="str">
        <x:v>S1</x:v>
      </x:c>
      <x:c r="F7" s="20" t="str">
        <x:v>用于反推2024新能源车险保费</x:v>
      </x:c>
    </x:row>
    <x:row r="8" ht="15" hidden="0" customHeight="1">
      <x:c r="A8" s="20" t="str">
        <x:v>2024车险原保险保费</x:v>
      </x:c>
      <x:c r="B8" s="57" t="n">
        <x:v>223301</x:v>
      </x:c>
      <x:c r="C8" s="20" t="str">
        <x:v>百万元</x:v>
      </x:c>
      <x:c r="D8" s="20" t="str">
        <x:v>公开披露</x:v>
      </x:c>
      <x:c r="E8" s="20" t="str">
        <x:v>S2</x:v>
      </x:c>
      <x:c r="F8" s="20" t="str">
        <x:v>2025年报比较数</x:v>
      </x:c>
    </x:row>
    <x:row r="9" ht="15" hidden="0" customHeight="1">
      <x:c r="A9" s="20" t="str">
        <x:v>2024车险综合成本率</x:v>
      </x:c>
      <x:c r="B9" s="58" t="n">
        <x:v>0.981</x:v>
      </x:c>
      <x:c r="C9" s="20" t="str">
        <x:v>%</x:v>
      </x:c>
      <x:c r="D9" s="20" t="str">
        <x:v>公开披露</x:v>
      </x:c>
      <x:c r="E9" s="20" t="str">
        <x:v>S3</x:v>
      </x:c>
      <x:c r="F9" s="20" t="str">
        <x:v>历史比较基准</x:v>
      </x:c>
    </x:row>
    <x:row r="10" ht="15" hidden="0" customHeight="1">
      <x:c r="A10" s="20" t="str">
        <x:v>2025车险综合成本率</x:v>
      </x:c>
      <x:c r="B10" s="58" t="n">
        <x:v>0.958</x:v>
      </x:c>
      <x:c r="C10" s="20" t="str">
        <x:v>%</x:v>
      </x:c>
      <x:c r="D10" s="20" t="str">
        <x:v>公开披露</x:v>
      </x:c>
      <x:c r="E10" s="20" t="str">
        <x:v>S1</x:v>
      </x:c>
      <x:c r="F10" s="20" t="str">
        <x:v>用于条件上限推导</x:v>
      </x:c>
    </x:row>
    <x:row r="11" ht="15" hidden="0" customHeight="1">
      <x:c r="A11" s="20" t="str">
        <x:v>2025新能源车险承保状态</x:v>
      </x:c>
      <x:c r="B11" s="20" t="str">
        <x:v>盈利</x:v>
      </x:c>
      <x:c r="C11" s="20" t="str">
        <x:v>文本</x:v>
      </x:c>
      <x:c r="D11" s="20" t="str">
        <x:v>公开披露</x:v>
      </x:c>
      <x:c r="E11" s="20" t="str">
        <x:v>S1</x:v>
      </x:c>
      <x:c r="F11" s="20" t="str">
        <x:v>只支持NEV COR&lt;100%的方向性约束</x:v>
      </x:c>
    </x:row>
    <x:row r="12" ht="15" hidden="0" customHeight="1">
      <x:c r="A12" s="20" t="str">
        <x:v>x下限：新能源COR−燃油COR</x:v>
      </x:c>
      <x:c r="B12" s="59" t="n">
        <x:v>0</x:v>
      </x:c>
      <x:c r="C12" s="20" t="str">
        <x:v>pp</x:v>
      </x:c>
      <x:c r="D12" s="20" t="str">
        <x:v>用户确认假设</x:v>
      </x:c>
      <x:c r="E12" s="20" t="str">
        <x:v>A1</x:v>
      </x:c>
      <x:c r="F12" s="20" t="str">
        <x:v>宽区间下限</x:v>
      </x:c>
    </x:row>
    <x:row r="13" ht="15" hidden="0" customHeight="1">
      <x:c r="A13" s="20" t="str">
        <x:v>x上限：新能源COR−燃油COR</x:v>
      </x:c>
      <x:c r="B13" s="59" t="n">
        <x:v>5.44</x:v>
      </x:c>
      <x:c r="C13" s="20" t="str">
        <x:v>pp</x:v>
      </x:c>
      <x:c r="D13" s="20" t="str">
        <x:v>用户确认假设</x:v>
      </x:c>
      <x:c r="E13" s="20" t="str">
        <x:v>A1</x:v>
      </x:c>
      <x:c r="F13" s="20" t="str">
        <x:v>以5.44pp作为展示上限</x:v>
      </x:c>
    </x:row>
    <x:row r="14" ht="15" hidden="0" customHeight="1">
      <x:c r="A14" s="20" t="str">
        <x:v>标准占比增量</x:v>
      </x:c>
      <x:c r="B14" s="60" t="n">
        <x:v>0.01</x:v>
      </x:c>
      <x:c r="C14" s="20" t="str">
        <x:v>%</x:v>
      </x:c>
      <x:c r="D14" s="20" t="str">
        <x:v>模型参数</x:v>
      </x:c>
      <x:c r="E14" s="20" t="str">
        <x:v>A1</x:v>
      </x:c>
      <x:c r="F14" s="20" t="str">
        <x:v>1pct=1%</x:v>
      </x:c>
    </x:row>
    <x:row r="15" ht="15" hidden="0" customHeight="1">
      <x:c r="A15" s="20" t="str">
        <x:v>说明</x:v>
      </x:c>
      <x:c r="B15" s="20"/>
      <x:c r="C15" s="20"/>
      <x:c r="D15" s="20"/>
      <x:c r="E15" s="20"/>
      <x:c r="F15" s="20" t="str">
        <x:v>保费占比用作承保组合权重的可审计代理</x:v>
      </x:c>
    </x:row>
    <x:row r="16"/>
    <x:row r="17"/>
    <x:row r="18" ht="15" hidden="0" customHeight="1">
      <x:c r="A18" s="16" t="str">
        <x:v>派生指标</x:v>
      </x:c>
      <x:c r="B18" s="16" t="str">
        <x:v>结果</x:v>
      </x:c>
      <x:c r="C18" s="16" t="str">
        <x:v>单位</x:v>
      </x:c>
      <x:c r="D18" s="16" t="str">
        <x:v>公式</x:v>
      </x:c>
      <x:c r="E18" s="16" t="str">
        <x:v>来源</x:v>
      </x:c>
      <x:c r="F18" s="16" t="str">
        <x:v>审计说明</x:v>
      </x:c>
    </x:row>
    <x:row r="19" ht="15" hidden="0" customHeight="1">
      <x:c r="A19" s="20" t="str">
        <x:v>2024新能源车险保费（重构）</x:v>
      </x:c>
      <x:c r="B19" s="65" t="n">
        <x:f>B5/(1+B7)</x:f>
        <x:v>37755.39568345324</x:v>
      </x:c>
      <x:c r="C19" s="20" t="str">
        <x:v>百万元</x:v>
      </x:c>
      <x:c r="D19" s="20" t="str">
        <x:v>2025 NEV保费/(1+同比)</x:v>
      </x:c>
      <x:c r="E19" s="20" t="str">
        <x:v>S1</x:v>
      </x:c>
      <x:c r="F19" s="20" t="str">
        <x:v>同比为四舍五入披露值</x:v>
      </x:c>
    </x:row>
    <x:row r="20" ht="15" hidden="0" customHeight="1">
      <x:c r="A20" s="20" t="str">
        <x:v>2024新能源保费占比</x:v>
      </x:c>
      <x:c r="B20" s="66" t="n">
        <x:f>B19/B8</x:f>
        <x:v>0.16907848905044418</x:v>
      </x:c>
      <x:c r="C20" s="20" t="str">
        <x:v>%</x:v>
      </x:c>
      <x:c r="D20" s="20" t="str">
        <x:v>重构NEV保费/2024车险保费</x:v>
      </x:c>
      <x:c r="E20" s="20" t="str">
        <x:v>S1/S2</x:v>
      </x:c>
      <x:c r="F20" s="20" t="str">
        <x:v>保费占比代理</x:v>
      </x:c>
    </x:row>
    <x:row r="21" ht="15" hidden="0" customHeight="1">
      <x:c r="A21" s="20" t="str">
        <x:v>2025新能源保费占比</x:v>
      </x:c>
      <x:c r="B21" s="66" t="n">
        <x:f>B5/B6</x:f>
        <x:v>0.22781535149026316</x:v>
      </x:c>
      <x:c r="C21" s="20" t="str">
        <x:v>%</x:v>
      </x:c>
      <x:c r="D21" s="20" t="str">
        <x:v>2025 NEV保费/2025车险保费</x:v>
      </x:c>
      <x:c r="E21" s="20" t="str">
        <x:v>S1/S2</x:v>
      </x:c>
      <x:c r="F21" s="20" t="str">
        <x:v>保费占比代理</x:v>
      </x:c>
    </x:row>
    <x:row r="22" ht="15" hidden="0" customHeight="1">
      <x:c r="A22" s="20" t="str">
        <x:v>2024→2025占比变化</x:v>
      </x:c>
      <x:c r="B22" s="66" t="n">
        <x:f>B21-B20</x:f>
        <x:v>0.05873686243981899</x:v>
      </x:c>
      <x:c r="C22" s="20" t="str">
        <x:v>pct</x:v>
      </x:c>
      <x:c r="D22" s="20" t="str">
        <x:v>2025占比−2024占比</x:v>
      </x:c>
      <x:c r="E22" s="20" t="str">
        <x:v>S1/S2</x:v>
      </x:c>
      <x:c r="F22" s="20" t="str">
        <x:v>百分点变化</x:v>
      </x:c>
    </x:row>
    <x:row r="23" ht="15" hidden="0" customHeight="1">
      <x:c r="A23" s="20" t="str">
        <x:v>正向COR差距精确条件上限</x:v>
      </x:c>
      <x:c r="B23" s="67" t="n">
        <x:f>(1-B10)/(1-B21)*100</x:f>
        <x:v>5.439113569669787</x:v>
      </x:c>
      <x:c r="C23" s="20" t="str">
        <x:v>pp</x:v>
      </x:c>
      <x:c r="D23" s="20" t="str">
        <x:v>(100%−整体COR)/(1−NEV权重)</x:v>
      </x:c>
      <x:c r="E23" s="20" t="str">
        <x:v>S1/A1</x:v>
      </x:c>
      <x:c r="F23" s="20" t="str">
        <x:v>令NEV COR=100%的条件边界</x:v>
      </x:c>
    </x:row>
    <x:row r="24" ht="15" hidden="0" customHeight="1">
      <x:c r="A24" s="20" t="str">
        <x:v>每+1pct占比最大拖累</x:v>
      </x:c>
      <x:c r="B24" s="67" t="n">
        <x:f>B14*B13</x:f>
        <x:v>0.054400000000000004</x:v>
      </x:c>
      <x:c r="C24" s="20" t="str">
        <x:v>pp</x:v>
      </x:c>
      <x:c r="D24" s="20" t="str">
        <x:v>1%×x上限</x:v>
      </x:c>
      <x:c r="E24" s="20" t="str">
        <x:v>A1</x:v>
      </x:c>
      <x:c r="F24" s="20" t="str">
        <x:v>线性敏感性</x:v>
      </x:c>
    </x:row>
    <x:row r="25" ht="15" hidden="0" customHeight="1">
      <x:c r="A25" s="20" t="str">
        <x:v>实际占比变化最大拖累</x:v>
      </x:c>
      <x:c r="B25" s="67" t="n">
        <x:f>B22*B13</x:f>
        <x:v>0.3195285316726153</x:v>
      </x:c>
      <x:c r="C25" s="20" t="str">
        <x:v>pp</x:v>
      </x:c>
      <x:c r="D25" s="20" t="str">
        <x:v>实际占比变化×x上限</x:v>
      </x:c>
      <x:c r="E25" s="20" t="str">
        <x:v>S1/S2/A1</x:v>
      </x:c>
      <x:c r="F25" s="20" t="str">
        <x:v>线性敏感性</x:v>
      </x:c>
    </x:row>
    <x:row r="26" ht="15" hidden="0" customHeight="1">
      <x:c r="A26" s="20" t="str">
        <x:v>观察到的车险COR改善</x:v>
      </x:c>
      <x:c r="B26" s="67" t="n">
        <x:f>(B9-B10)*100</x:f>
        <x:v>2.300000000000002</x:v>
      </x:c>
      <x:c r="C26" s="20" t="str">
        <x:v>pp</x:v>
      </x:c>
      <x:c r="D26" s="20" t="str">
        <x:v>2024 COR−2025 COR</x:v>
      </x:c>
      <x:c r="E26" s="20" t="str">
        <x:v>S1/S3</x:v>
      </x:c>
      <x:c r="F26" s="20" t="str">
        <x:v>直接历史差</x:v>
      </x:c>
    </x:row>
    <x:row r="27" ht="15" hidden="0" customHeight="1">
      <x:c r="A27" s="20" t="str">
        <x:v>最大情景下底层改善</x:v>
      </x:c>
      <x:c r="B27" s="67" t="n">
        <x:f>B26+B25</x:f>
        <x:v>2.6195285316726173</x:v>
      </x:c>
      <x:c r="C27" s="20" t="str">
        <x:v>pp</x:v>
      </x:c>
      <x:c r="D27" s="20" t="str">
        <x:v>观察改善+最大结构拖累</x:v>
      </x:c>
      <x:c r="E27" s="20" t="str">
        <x:v>S1/S2/S3/A1</x:v>
      </x:c>
      <x:c r="F27" s="20" t="str">
        <x:v>假设无mix拖累时的改善</x:v>
      </x:c>
    </x:row>
    <x:row r="28" ht="15" hidden="0" customHeight="1">
      <x:c r="A28" s="20" t="str">
        <x:v>最大拖累/已报告改善</x:v>
      </x:c>
      <x:c r="B28" s="68" t="n">
        <x:f>B25/B26</x:f>
        <x:v>0.13892544855331088</x:v>
      </x:c>
      <x:c r="C28" s="20" t="str">
        <x:v>%</x:v>
      </x:c>
      <x:c r="D28" s="20" t="str">
        <x:v>最大结构拖累/观察改善</x:v>
      </x:c>
      <x:c r="E28" s="20" t="str">
        <x:v>S1/S2/S3/A1</x:v>
      </x:c>
      <x:c r="F28" s="20" t="str">
        <x:v>相对已报告改善的抵消强度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6f4f3387742644c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.600000381469727" hidden="0" customHeight="1">
      <x:c r="A1" s="3" t="str">
        <x:v>敏感性矩阵与2025隐含分项COR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6" t="str">
        <x:v>结构拖累(pp)=新能源保费占比变化(小数)×x(pp)；矩阵全部由输入表公式驱动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15" hidden="0" customHeight="1">
      <x:c r="A4" s="16" t="str">
        <x:v>x / 占比提升</x:v>
      </x:c>
      <x:c r="B4" s="71" t="n">
        <x:v>0.01</x:v>
      </x:c>
      <x:c r="C4" s="71" t="n">
        <x:v>0.02</x:v>
      </x:c>
      <x:c r="D4" s="71" t="n">
        <x:v>0.03</x:v>
      </x:c>
      <x:c r="E4" s="71" t="n">
        <x:v>0.04</x:v>
      </x:c>
      <x:c r="F4" s="71" t="n">
        <x:v>0.05</x:v>
      </x:c>
      <x:c r="G4" s="71" t="n">
        <x:f>'Assumptions'!B22</x:f>
        <x:v>0.05873686243981899</x:v>
      </x:c>
      <x:c r="H4" s="71" t="n">
        <x:v>0.1</x:v>
      </x:c>
      <x:c r="K4" s="16" t="str">
        <x:v>占比提升</x:v>
      </x:c>
      <x:c r="L4" s="16" t="str">
        <x:v>x=1pp</x:v>
      </x:c>
      <x:c r="M4" s="16" t="str">
        <x:v>x=3pp</x:v>
      </x:c>
      <x:c r="N4" s="16" t="str">
        <x:v>x=5.44pp</x:v>
      </x:c>
    </x:row>
    <x:row r="5" ht="15" hidden="0" customHeight="1">
      <x:c r="A5" s="74" t="n">
        <x:v>0</x:v>
      </x:c>
      <x:c r="B5" s="75" t="n">
        <x:f>$A5*B$4</x:f>
        <x:v>0</x:v>
      </x:c>
      <x:c r="C5" s="75" t="n">
        <x:f>$A5*C$4</x:f>
        <x:v>0</x:v>
      </x:c>
      <x:c r="D5" s="75" t="n">
        <x:f>$A5*D$4</x:f>
        <x:v>0</x:v>
      </x:c>
      <x:c r="E5" s="75" t="n">
        <x:f>$A5*E$4</x:f>
        <x:v>0</x:v>
      </x:c>
      <x:c r="F5" s="75" t="n">
        <x:f>$A5*F$4</x:f>
        <x:v>0</x:v>
      </x:c>
      <x:c r="G5" s="75" t="n">
        <x:f>$A5*G$4</x:f>
        <x:v>0</x:v>
      </x:c>
      <x:c r="H5" s="75" t="n">
        <x:f>$A5*H$4</x:f>
        <x:v>0</x:v>
      </x:c>
      <x:c r="K5" s="85" t="n">
        <x:v>0</x:v>
      </x:c>
      <x:c r="L5" s="86" t="n">
        <x:f>$K5*1</x:f>
        <x:v>0</x:v>
      </x:c>
      <x:c r="M5" s="86" t="n">
        <x:f>$K5*3</x:f>
        <x:v>0</x:v>
      </x:c>
      <x:c r="N5" s="86" t="n">
        <x:f>$K5*'Assumptions'!$B$13</x:f>
        <x:v>0</x:v>
      </x:c>
    </x:row>
    <x:row r="6" ht="15" hidden="0" customHeight="1">
      <x:c r="A6" s="74" t="n">
        <x:v>1</x:v>
      </x:c>
      <x:c r="B6" s="75" t="n">
        <x:f>$A6*B$4</x:f>
        <x:v>0.01</x:v>
      </x:c>
      <x:c r="C6" s="75" t="n">
        <x:f>$A6*C$4</x:f>
        <x:v>0.02</x:v>
      </x:c>
      <x:c r="D6" s="75" t="n">
        <x:f>$A6*D$4</x:f>
        <x:v>0.03</x:v>
      </x:c>
      <x:c r="E6" s="75" t="n">
        <x:f>$A6*E$4</x:f>
        <x:v>0.04</x:v>
      </x:c>
      <x:c r="F6" s="75" t="n">
        <x:f>$A6*F$4</x:f>
        <x:v>0.05</x:v>
      </x:c>
      <x:c r="G6" s="75" t="n">
        <x:f>$A6*G$4</x:f>
        <x:v>0.05873686243981899</x:v>
      </x:c>
      <x:c r="H6" s="75" t="n">
        <x:f>$A6*H$4</x:f>
        <x:v>0.1</x:v>
      </x:c>
      <x:c r="K6" s="85" t="n">
        <x:v>0.01</x:v>
      </x:c>
      <x:c r="L6" s="86" t="n">
        <x:f>$K6*1</x:f>
        <x:v>0.01</x:v>
      </x:c>
      <x:c r="M6" s="86" t="n">
        <x:f>$K6*3</x:f>
        <x:v>0.03</x:v>
      </x:c>
      <x:c r="N6" s="86" t="n">
        <x:f>$K6*'Assumptions'!$B$13</x:f>
        <x:v>0.054400000000000004</x:v>
      </x:c>
    </x:row>
    <x:row r="7" ht="15" hidden="0" customHeight="1">
      <x:c r="A7" s="74" t="n">
        <x:v>2</x:v>
      </x:c>
      <x:c r="B7" s="75" t="n">
        <x:f>$A7*B$4</x:f>
        <x:v>0.02</x:v>
      </x:c>
      <x:c r="C7" s="75" t="n">
        <x:f>$A7*C$4</x:f>
        <x:v>0.04</x:v>
      </x:c>
      <x:c r="D7" s="75" t="n">
        <x:f>$A7*D$4</x:f>
        <x:v>0.06</x:v>
      </x:c>
      <x:c r="E7" s="75" t="n">
        <x:f>$A7*E$4</x:f>
        <x:v>0.08</x:v>
      </x:c>
      <x:c r="F7" s="75" t="n">
        <x:f>$A7*F$4</x:f>
        <x:v>0.1</x:v>
      </x:c>
      <x:c r="G7" s="75" t="n">
        <x:f>$A7*G$4</x:f>
        <x:v>0.11747372487963798</x:v>
      </x:c>
      <x:c r="H7" s="75" t="n">
        <x:f>$A7*H$4</x:f>
        <x:v>0.2</x:v>
      </x:c>
      <x:c r="K7" s="85" t="n">
        <x:v>0.02</x:v>
      </x:c>
      <x:c r="L7" s="86" t="n">
        <x:f>$K7*1</x:f>
        <x:v>0.02</x:v>
      </x:c>
      <x:c r="M7" s="86" t="n">
        <x:f>$K7*3</x:f>
        <x:v>0.06</x:v>
      </x:c>
      <x:c r="N7" s="86" t="n">
        <x:f>$K7*'Assumptions'!$B$13</x:f>
        <x:v>0.10880000000000001</x:v>
      </x:c>
    </x:row>
    <x:row r="8" ht="15" hidden="0" customHeight="1">
      <x:c r="A8" s="74" t="n">
        <x:v>3</x:v>
      </x:c>
      <x:c r="B8" s="75" t="n">
        <x:f>$A8*B$4</x:f>
        <x:v>0.03</x:v>
      </x:c>
      <x:c r="C8" s="75" t="n">
        <x:f>$A8*C$4</x:f>
        <x:v>0.06</x:v>
      </x:c>
      <x:c r="D8" s="75" t="n">
        <x:f>$A8*D$4</x:f>
        <x:v>0.09</x:v>
      </x:c>
      <x:c r="E8" s="75" t="n">
        <x:f>$A8*E$4</x:f>
        <x:v>0.12</x:v>
      </x:c>
      <x:c r="F8" s="75" t="n">
        <x:f>$A8*F$4</x:f>
        <x:v>0.15000000000000002</x:v>
      </x:c>
      <x:c r="G8" s="75" t="n">
        <x:f>$A8*G$4</x:f>
        <x:v>0.17621058731945696</x:v>
      </x:c>
      <x:c r="H8" s="75" t="n">
        <x:f>$A8*H$4</x:f>
        <x:v>0.30000000000000004</x:v>
      </x:c>
      <x:c r="K8" s="85" t="n">
        <x:v>0.03</x:v>
      </x:c>
      <x:c r="L8" s="86" t="n">
        <x:f>$K8*1</x:f>
        <x:v>0.03</x:v>
      </x:c>
      <x:c r="M8" s="86" t="n">
        <x:f>$K8*3</x:f>
        <x:v>0.09</x:v>
      </x:c>
      <x:c r="N8" s="86" t="n">
        <x:f>$K8*'Assumptions'!$B$13</x:f>
        <x:v>0.1632</x:v>
      </x:c>
    </x:row>
    <x:row r="9" ht="15" hidden="0" customHeight="1">
      <x:c r="A9" s="74" t="n">
        <x:v>4</x:v>
      </x:c>
      <x:c r="B9" s="75" t="n">
        <x:f>$A9*B$4</x:f>
        <x:v>0.04</x:v>
      </x:c>
      <x:c r="C9" s="75" t="n">
        <x:f>$A9*C$4</x:f>
        <x:v>0.08</x:v>
      </x:c>
      <x:c r="D9" s="75" t="n">
        <x:f>$A9*D$4</x:f>
        <x:v>0.12</x:v>
      </x:c>
      <x:c r="E9" s="75" t="n">
        <x:f>$A9*E$4</x:f>
        <x:v>0.16</x:v>
      </x:c>
      <x:c r="F9" s="75" t="n">
        <x:f>$A9*F$4</x:f>
        <x:v>0.2</x:v>
      </x:c>
      <x:c r="G9" s="75" t="n">
        <x:f>$A9*G$4</x:f>
        <x:v>0.23494744975927595</x:v>
      </x:c>
      <x:c r="H9" s="75" t="n">
        <x:f>$A9*H$4</x:f>
        <x:v>0.4</x:v>
      </x:c>
      <x:c r="K9" s="85" t="n">
        <x:v>0.04</x:v>
      </x:c>
      <x:c r="L9" s="86" t="n">
        <x:f>$K9*1</x:f>
        <x:v>0.04</x:v>
      </x:c>
      <x:c r="M9" s="86" t="n">
        <x:f>$K9*3</x:f>
        <x:v>0.12</x:v>
      </x:c>
      <x:c r="N9" s="86" t="n">
        <x:f>$K9*'Assumptions'!$B$13</x:f>
        <x:v>0.21760000000000002</x:v>
      </x:c>
    </x:row>
    <x:row r="10" ht="15" hidden="0" customHeight="1">
      <x:c r="A10" s="74" t="n">
        <x:v>5</x:v>
      </x:c>
      <x:c r="B10" s="75" t="n">
        <x:f>$A10*B$4</x:f>
        <x:v>0.05</x:v>
      </x:c>
      <x:c r="C10" s="75" t="n">
        <x:f>$A10*C$4</x:f>
        <x:v>0.1</x:v>
      </x:c>
      <x:c r="D10" s="75" t="n">
        <x:f>$A10*D$4</x:f>
        <x:v>0.15</x:v>
      </x:c>
      <x:c r="E10" s="75" t="n">
        <x:f>$A10*E$4</x:f>
        <x:v>0.2</x:v>
      </x:c>
      <x:c r="F10" s="75" t="n">
        <x:f>$A10*F$4</x:f>
        <x:v>0.25</x:v>
      </x:c>
      <x:c r="G10" s="75" t="n">
        <x:f>$A10*G$4</x:f>
        <x:v>0.29368431219909497</x:v>
      </x:c>
      <x:c r="H10" s="75" t="n">
        <x:f>$A10*H$4</x:f>
        <x:v>0.5</x:v>
      </x:c>
      <x:c r="K10" s="85" t="n">
        <x:v>0.05</x:v>
      </x:c>
      <x:c r="L10" s="86" t="n">
        <x:f>$K10*1</x:f>
        <x:v>0.05</x:v>
      </x:c>
      <x:c r="M10" s="86" t="n">
        <x:f>$K10*3</x:f>
        <x:v>0.15000000000000002</x:v>
      </x:c>
      <x:c r="N10" s="86" t="n">
        <x:f>$K10*'Assumptions'!$B$13</x:f>
        <x:v>0.272</x:v>
      </x:c>
    </x:row>
    <x:row r="11" ht="15" hidden="0" customHeight="1">
      <x:c r="A11" s="74" t="n">
        <x:v>5.44</x:v>
      </x:c>
      <x:c r="B11" s="75" t="n">
        <x:f>$A11*B$4</x:f>
        <x:v>0.054400000000000004</x:v>
      </x:c>
      <x:c r="C11" s="75" t="n">
        <x:f>$A11*C$4</x:f>
        <x:v>0.10880000000000001</x:v>
      </x:c>
      <x:c r="D11" s="75" t="n">
        <x:f>$A11*D$4</x:f>
        <x:v>0.1632</x:v>
      </x:c>
      <x:c r="E11" s="75" t="n">
        <x:f>$A11*E$4</x:f>
        <x:v>0.21760000000000002</x:v>
      </x:c>
      <x:c r="F11" s="75" t="n">
        <x:f>$A11*F$4</x:f>
        <x:v>0.272</x:v>
      </x:c>
      <x:c r="G11" s="75" t="n">
        <x:f>$A11*G$4</x:f>
        <x:v>0.3195285316726153</x:v>
      </x:c>
      <x:c r="H11" s="75" t="n">
        <x:f>$A11*H$4</x:f>
        <x:v>0.544</x:v>
      </x:c>
      <x:c r="K11" s="85" t="n">
        <x:v>0.06</x:v>
      </x:c>
      <x:c r="L11" s="86" t="n">
        <x:f>$K11*1</x:f>
        <x:v>0.06</x:v>
      </x:c>
      <x:c r="M11" s="86" t="n">
        <x:f>$K11*3</x:f>
        <x:v>0.18</x:v>
      </x:c>
      <x:c r="N11" s="86" t="n">
        <x:f>$K11*'Assumptions'!$B$13</x:f>
        <x:v>0.3264</x:v>
      </x:c>
    </x:row>
    <x:row r="12" ht="15" hidden="0" customHeight="1">
      <x:c r="K12" s="85" t="n">
        <x:v>0.07</x:v>
      </x:c>
      <x:c r="L12" s="86" t="n">
        <x:f>$K12*1</x:f>
        <x:v>0.07</x:v>
      </x:c>
      <x:c r="M12" s="86" t="n">
        <x:f>$K12*3</x:f>
        <x:v>0.21000000000000002</x:v>
      </x:c>
      <x:c r="N12" s="86" t="n">
        <x:f>$K12*'Assumptions'!$B$13</x:f>
        <x:v>0.3808000000000001</x:v>
      </x:c>
    </x:row>
    <x:row r="13" ht="15" hidden="0" customHeight="1">
      <x:c r="A13" s="16" t="str">
        <x:v>x情景(pp)</x:v>
      </x:c>
      <x:c r="B13" s="16" t="str">
        <x:v>燃油车COR（隐含）</x:v>
      </x:c>
      <x:c r="C13" s="16" t="str">
        <x:v>新能源车COR（隐含）</x:v>
      </x:c>
      <x:c r="D13" s="16" t="str">
        <x:v>加权回算差</x:v>
      </x:c>
      <x:c r="K13" s="85" t="n">
        <x:v>0.08</x:v>
      </x:c>
      <x:c r="L13" s="86" t="n">
        <x:f>$K13*1</x:f>
        <x:v>0.08</x:v>
      </x:c>
      <x:c r="M13" s="86" t="n">
        <x:f>$K13*3</x:f>
        <x:v>0.24</x:v>
      </x:c>
      <x:c r="N13" s="86" t="n">
        <x:f>$K13*'Assumptions'!$B$13</x:f>
        <x:v>0.43520000000000003</x:v>
      </x:c>
    </x:row>
    <x:row r="14" ht="15" hidden="0" customHeight="1">
      <x:c r="A14" s="20" t="n">
        <x:v>0</x:v>
      </x:c>
      <x:c r="B14" s="78" t="n">
        <x:f>'Assumptions'!$B$10-'Assumptions'!$B$21*A14/100</x:f>
        <x:v>0.958</x:v>
      </x:c>
      <x:c r="C14" s="78" t="n">
        <x:f>'Assumptions'!$B$10+(1-'Assumptions'!$B$21)*A14/100</x:f>
        <x:v>0.958</x:v>
      </x:c>
      <x:c r="D14" s="78" t="n">
        <x:f>(1-'Assumptions'!$B$21)*B14+'Assumptions'!$B$21*C14-'Assumptions'!$B$10</x:f>
        <x:v>0</x:v>
      </x:c>
      <x:c r="K14" s="85" t="n">
        <x:v>0.09</x:v>
      </x:c>
      <x:c r="L14" s="86" t="n">
        <x:f>$K14*1</x:f>
        <x:v>0.09</x:v>
      </x:c>
      <x:c r="M14" s="86" t="n">
        <x:f>$K14*3</x:f>
        <x:v>0.27</x:v>
      </x:c>
      <x:c r="N14" s="86" t="n">
        <x:f>$K14*'Assumptions'!$B$13</x:f>
        <x:v>0.48960000000000004</x:v>
      </x:c>
    </x:row>
    <x:row r="15" ht="15" hidden="0" customHeight="1">
      <x:c r="A15" s="20" t="n">
        <x:v>1</x:v>
      </x:c>
      <x:c r="B15" s="78" t="n">
        <x:f>'Assumptions'!$B$10-'Assumptions'!$B$21*A15/100</x:f>
        <x:v>0.9557218464850973</x:v>
      </x:c>
      <x:c r="C15" s="78" t="n">
        <x:f>'Assumptions'!$B$10+(1-'Assumptions'!$B$21)*A15/100</x:f>
        <x:v>0.9657218464850973</x:v>
      </x:c>
      <x:c r="D15" s="78" t="n">
        <x:f>(1-'Assumptions'!$B$21)*B15+'Assumptions'!$B$21*C15-'Assumptions'!$B$10</x:f>
        <x:v>-1.1102230246251565e-16</x:v>
      </x:c>
      <x:c r="K15" s="85" t="n">
        <x:v>0.1</x:v>
      </x:c>
      <x:c r="L15" s="86" t="n">
        <x:f>$K15*1</x:f>
        <x:v>0.1</x:v>
      </x:c>
      <x:c r="M15" s="86" t="n">
        <x:f>$K15*3</x:f>
        <x:v>0.30000000000000004</x:v>
      </x:c>
      <x:c r="N15" s="86" t="n">
        <x:f>$K15*'Assumptions'!$B$13</x:f>
        <x:v>0.544</x:v>
      </x:c>
    </x:row>
    <x:row r="16" ht="15" hidden="0" customHeight="1">
      <x:c r="A16" s="20" t="n">
        <x:v>2</x:v>
      </x:c>
      <x:c r="B16" s="78" t="n">
        <x:f>'Assumptions'!$B$10-'Assumptions'!$B$21*A16/100</x:f>
        <x:v>0.9534436929701947</x:v>
      </x:c>
      <x:c r="C16" s="78" t="n">
        <x:f>'Assumptions'!$B$10+(1-'Assumptions'!$B$21)*A16/100</x:f>
        <x:v>0.9734436929701947</x:v>
      </x:c>
      <x:c r="D16" s="78" t="n">
        <x:f>(1-'Assumptions'!$B$21)*B16+'Assumptions'!$B$21*C16-'Assumptions'!$B$10</x:f>
        <x:v>0</x:v>
      </x:c>
    </x:row>
    <x:row r="17" ht="15" hidden="0" customHeight="1">
      <x:c r="A17" s="20" t="n">
        <x:v>3</x:v>
      </x:c>
      <x:c r="B17" s="78" t="n">
        <x:f>'Assumptions'!$B$10-'Assumptions'!$B$21*A17/100</x:f>
        <x:v>0.951165539455292</x:v>
      </x:c>
      <x:c r="C17" s="78" t="n">
        <x:f>'Assumptions'!$B$10+(1-'Assumptions'!$B$21)*A17/100</x:f>
        <x:v>0.9811655394552921</x:v>
      </x:c>
      <x:c r="D17" s="78" t="n">
        <x:f>(1-'Assumptions'!$B$21)*B17+'Assumptions'!$B$21*C17-'Assumptions'!$B$10</x:f>
        <x:v>0</x:v>
      </x:c>
    </x:row>
    <x:row r="18" ht="15" hidden="0" customHeight="1">
      <x:c r="A18" s="20" t="n">
        <x:v>4</x:v>
      </x:c>
      <x:c r="B18" s="78" t="n">
        <x:f>'Assumptions'!$B$10-'Assumptions'!$B$21*A18/100</x:f>
        <x:v>0.9488873859403895</x:v>
      </x:c>
      <x:c r="C18" s="78" t="n">
        <x:f>'Assumptions'!$B$10+(1-'Assumptions'!$B$21)*A18/100</x:f>
        <x:v>0.9888873859403894</x:v>
      </x:c>
      <x:c r="D18" s="78" t="n">
        <x:f>(1-'Assumptions'!$B$21)*B18+'Assumptions'!$B$21*C18-'Assumptions'!$B$10</x:f>
        <x:v>-1.1102230246251565e-16</x:v>
      </x:c>
    </x:row>
    <x:row r="19" ht="15" hidden="0" customHeight="1">
      <x:c r="A19" s="20" t="n">
        <x:v>5</x:v>
      </x:c>
      <x:c r="B19" s="78" t="n">
        <x:f>'Assumptions'!$B$10-'Assumptions'!$B$21*A19/100</x:f>
        <x:v>0.9466092324254868</x:v>
      </x:c>
      <x:c r="C19" s="78" t="n">
        <x:f>'Assumptions'!$B$10+(1-'Assumptions'!$B$21)*A19/100</x:f>
        <x:v>0.9966092324254868</x:v>
      </x:c>
      <x:c r="D19" s="78" t="n">
        <x:f>(1-'Assumptions'!$B$21)*B19+'Assumptions'!$B$21*C19-'Assumptions'!$B$10</x:f>
        <x:v>-1.1102230246251565e-16</x:v>
      </x:c>
    </x:row>
    <x:row r="20" ht="15" hidden="0" customHeight="1">
      <x:c r="A20" s="20" t="n">
        <x:v>5.44</x:v>
      </x:c>
      <x:c r="B20" s="78" t="n">
        <x:f>'Assumptions'!$B$10-'Assumptions'!$B$21*A20/100</x:f>
        <x:v>0.9456068448789297</x:v>
      </x:c>
      <x:c r="C20" s="78" t="n">
        <x:f>'Assumptions'!$B$10+(1-'Assumptions'!$B$21)*A20/100</x:f>
        <x:v>1.0000068448789297</x:v>
      </x:c>
      <x:c r="D20" s="78" t="n">
        <x:f>(1-'Assumptions'!$B$21)*B20+'Assumptions'!$B$21*C20-'Assumptions'!$B$10</x:f>
        <x:v>0</x:v>
      </x:c>
    </x:row>
    <x:row r="21"/>
    <x:row r="22" ht="34" hidden="0" customHeight="1">
      <x:c r="A22" s="80" t="str">
        <x:v>解释：x=5.44pp并不等于整体COR增加5.44pp。整体变化还要乘以新增权重。</x:v>
      </x:c>
      <x:c r="B22" s="80"/>
      <x:c r="C22" s="80"/>
      <x:c r="D22" s="80"/>
    </x:row>
    <x:row r="23" ht="34" hidden="0" customHeight="1">
      <x:c r="A23" s="80" t="str">
        <x:v>条件边界：按精确公式，x上限约5.4391pp；展示采用用户确认的5.44pp，因此隐含NEV COR仅因四舍五入略高于100%。</x:v>
      </x:c>
      <x:c r="B23" s="80"/>
      <x:c r="C23" s="80"/>
      <x:c r="D23" s="80"/>
    </x:row>
    <x:row r="24" ht="34" hidden="0" customHeight="1">
      <x:c r="A24" s="80" t="str">
        <x:v>限制：分项COR为代数反推，不是中国平安披露值。</x:v>
      </x:c>
      <x:c r="B24" s="80"/>
      <x:c r="C24" s="80"/>
      <x:c r="D24" s="80"/>
    </x:row>
  </x:sheetData>
  <x:mergeCells>
    <x:mergeCell ref="A1:N1"/>
    <x:mergeCell ref="A2:N2"/>
    <x:mergeCell ref="A22:D22"/>
    <x:mergeCell ref="A23:D23"/>
    <x:mergeCell ref="A24:D24"/>
  </x:mergeCells>
  <x:conditionalFormatting sqref="B5:H11">
    <x:cfRule type="colorScale" priority="1">
      <x:colorScale>
        <x:cfvo type="min"/>
        <x:cfvo type="percentile" val="50"/>
        <x:cfvo type="max"/>
        <x:color rgb="FFE2F0D9"/>
        <x:color rgb="FFFFF2CC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9a3dec178eb14c0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38" hidden="0" customWidth="1"/>
  </x:cols>
  <x:sheetData>
    <x:row r="1" ht="21.600000381469727" hidden="0" customHeight="1">
      <x:c r="A1" s="3" t="str">
        <x:v>模型检查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所有关键关系必须为PASS；容差单位与被检验指标一致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6" t="str">
        <x:v>检查项</x:v>
      </x:c>
      <x:c r="B4" s="16" t="str">
        <x:v>实际值</x:v>
      </x:c>
      <x:c r="C4" s="16" t="str">
        <x:v>期望值</x:v>
      </x:c>
      <x:c r="D4" s="16" t="str">
        <x:v>差异</x:v>
      </x:c>
      <x:c r="E4" s="16" t="str">
        <x:v>容差</x:v>
      </x:c>
      <x:c r="F4" s="16" t="str">
        <x:v>状态</x:v>
      </x:c>
      <x:c r="G4" s="16" t="str">
        <x:v>说明</x:v>
      </x:c>
    </x:row>
    <x:row r="5" ht="15" hidden="0" customHeight="1">
      <x:c r="A5" s="20" t="str">
        <x:v>2025新能源占比勾稽</x:v>
      </x:c>
      <x:c r="B5" s="89" t="n">
        <x:f>'Assumptions'!B21</x:f>
        <x:v>0.22781535149026316</x:v>
      </x:c>
      <x:c r="C5" s="89" t="n">
        <x:f>'Assumptions'!B5/'Assumptions'!B6</x:f>
        <x:v>0.22781535149026316</x:v>
      </x:c>
      <x:c r="D5" s="89" t="n">
        <x:f>ABS(B5-C5)</x:f>
        <x:v>0</x:v>
      </x:c>
      <x:c r="E5" s="89" t="n">
        <x:v>1e-7</x:v>
      </x:c>
      <x:c r="F5" s="20" t="str">
        <x:f>IF(D5&lt;=E5,"PASS","FAIL")</x:f>
        <x:v>PASS</x:v>
      </x:c>
      <x:c r="G5" s="20" t="str">
        <x:v>同一公式重复验证</x:v>
      </x:c>
    </x:row>
    <x:row r="6" ht="15" hidden="0" customHeight="1">
      <x:c r="A6" s="20" t="str">
        <x:v>2024重构保费滚回2025</x:v>
      </x:c>
      <x:c r="B6" s="89" t="n">
        <x:f>'Assumptions'!B19*(1+'Assumptions'!B7)</x:f>
        <x:v>52480</x:v>
      </x:c>
      <x:c r="C6" s="89" t="n">
        <x:f>'Assumptions'!B5</x:f>
        <x:v>52480</x:v>
      </x:c>
      <x:c r="D6" s="89" t="n">
        <x:f>ABS(B6-C6)</x:f>
        <x:v>0</x:v>
      </x:c>
      <x:c r="E6" s="89" t="n">
        <x:v>0.01</x:v>
      </x:c>
      <x:c r="F6" s="20" t="str">
        <x:f>IF(D6&lt;=E6,"PASS","FAIL")</x:f>
        <x:v>PASS</x:v>
      </x:c>
      <x:c r="G6" s="20" t="str">
        <x:v>允许披露同比四舍五入</x:v>
      </x:c>
    </x:row>
    <x:row r="7" ht="15" hidden="0" customHeight="1">
      <x:c r="A7" s="20" t="str">
        <x:v>精确上限令NEV COR=100%</x:v>
      </x:c>
      <x:c r="B7" s="89" t="n">
        <x:f>'Assumptions'!B10+(1-'Assumptions'!B21)*'Assumptions'!B23/100</x:f>
        <x:v>1</x:v>
      </x:c>
      <x:c r="C7" s="89" t="n">
        <x:v>1</x:v>
      </x:c>
      <x:c r="D7" s="89" t="n">
        <x:f>ABS(B7-C7)</x:f>
        <x:v>0</x:v>
      </x:c>
      <x:c r="E7" s="89" t="n">
        <x:v>1e-7</x:v>
      </x:c>
      <x:c r="F7" s="20" t="str">
        <x:f>IF(D7&lt;=E7,"PASS","FAIL")</x:f>
        <x:v>PASS</x:v>
      </x:c>
      <x:c r="G7" s="20" t="str">
        <x:v>条件边界定义</x:v>
      </x:c>
    </x:row>
    <x:row r="8" ht="15" hidden="0" customHeight="1">
      <x:c r="A8" s="20" t="str">
        <x:v>5.44与精确上限接近</x:v>
      </x:c>
      <x:c r="B8" s="89" t="n">
        <x:f>'Assumptions'!B13</x:f>
        <x:v>5.44</x:v>
      </x:c>
      <x:c r="C8" s="89" t="n">
        <x:f>'Assumptions'!B23</x:f>
        <x:v>5.439113569669787</x:v>
      </x:c>
      <x:c r="D8" s="89" t="n">
        <x:f>ABS(B8-C8)</x:f>
        <x:v>0.0008864303302136278</x:v>
      </x:c>
      <x:c r="E8" s="89" t="n">
        <x:v>0.01</x:v>
      </x:c>
      <x:c r="F8" s="20" t="str">
        <x:f>IF(D8&lt;=E8,"PASS","FAIL")</x:f>
        <x:v>PASS</x:v>
      </x:c>
      <x:c r="G8" s="20" t="str">
        <x:v>展示值四舍五入</x:v>
      </x:c>
    </x:row>
    <x:row r="9" ht="15" hidden="0" customHeight="1">
      <x:c r="A9" s="20" t="str">
        <x:v>实际mix拖累勾稽</x:v>
      </x:c>
      <x:c r="B9" s="89" t="n">
        <x:f>'Sensitivity'!G11</x:f>
        <x:v>0.3195285316726153</x:v>
      </x:c>
      <x:c r="C9" s="89" t="n">
        <x:f>'Assumptions'!B25</x:f>
        <x:v>0.3195285316726153</x:v>
      </x:c>
      <x:c r="D9" s="89" t="n">
        <x:f>ABS(B9-C9)</x:f>
        <x:v>0</x:v>
      </x:c>
      <x:c r="E9" s="89" t="n">
        <x:v>1e-7</x:v>
      </x:c>
      <x:c r="F9" s="20" t="str">
        <x:f>IF(D9&lt;=E9,"PASS","FAIL")</x:f>
        <x:v>PASS</x:v>
      </x:c>
      <x:c r="G9" s="20" t="str">
        <x:v>敏感性矩阵与直接公式一致</x:v>
      </x:c>
    </x:row>
    <x:row r="10" ht="15" hidden="0" customHeight="1">
      <x:c r="A10" s="20" t="str">
        <x:v>x区间有效</x:v>
      </x:c>
      <x:c r="B10" s="89" t="n">
        <x:f>IF(AND('Assumptions'!B12&gt;=0,'Assumptions'!B13&gt;='Assumptions'!B12),1,0)</x:f>
        <x:v>1</x:v>
      </x:c>
      <x:c r="C10" s="89" t="n">
        <x:v>1</x:v>
      </x:c>
      <x:c r="D10" s="89" t="n">
        <x:f>ABS(B10-C10)</x:f>
        <x:v>0</x:v>
      </x:c>
      <x:c r="E10" s="89" t="n">
        <x:v>0</x:v>
      </x:c>
      <x:c r="F10" s="20" t="str">
        <x:f>IF(D10&lt;=E10,"PASS","FAIL")</x:f>
        <x:v>PASS</x:v>
      </x:c>
      <x:c r="G10" s="20" t="str">
        <x:v>下限非负且上限不低于下限</x:v>
      </x:c>
    </x:row>
    <x:row r="11"/>
    <x:row r="12" ht="16.799999237060547" hidden="0" customHeight="1">
      <x:c r="A12" s="11" t="str">
        <x:v>整体状态</x:v>
      </x:c>
      <x:c r="B12" s="91" t="str">
        <x:f>IF(COUNTIF(F5:F10,"FAIL")=0,"PASS","FAIL")</x:f>
        <x:v>PASS</x:v>
      </x:c>
    </x:row>
  </x:sheetData>
  <x:mergeCells>
    <x:mergeCell ref="A1:G1"/>
    <x:mergeCell ref="A2:G2"/>
  </x:mergeCells>
  <x:conditionalFormatting sqref="F5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13" hidden="0" customWidth="1"/>
    <x:col min="5" max="5" width="54" hidden="0" customWidth="1"/>
    <x:col min="6" max="6" width="72" hidden="0" customWidth="1"/>
    <x:col min="7" max="7" width="22" hidden="0" customWidth="1"/>
  </x:cols>
  <x:sheetData>
    <x:row r="1" ht="21.600000381469727" hidden="0" customHeight="1">
      <x:c r="A1" s="3" t="str">
        <x:v>来源索引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所有直接输入均来自白名单内的中国平安年报；本地文件路径仅用于审计定位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6" t="str">
        <x:v>来源ID</x:v>
      </x:c>
      <x:c r="B4" s="16" t="str">
        <x:v>文件</x:v>
      </x:c>
      <x:c r="C4" s="16" t="str">
        <x:v>PDF页码</x:v>
      </x:c>
      <x:c r="D4" s="16" t="str">
        <x:v>报告页码</x:v>
      </x:c>
      <x:c r="E4" s="16" t="str">
        <x:v>披露项目</x:v>
      </x:c>
      <x:c r="F4" s="16" t="str">
        <x:v>本地路径</x:v>
      </x:c>
      <x:c r="G4" s="16" t="str">
        <x:v>备注</x:v>
      </x:c>
    </x:row>
    <x:row r="5" ht="15" hidden="0" customHeight="1">
      <x:c r="A5" s="20" t="str">
        <x:v>S1</x:v>
      </x:c>
      <x:c r="B5" s="20" t="str">
        <x:v>中国平安_年报_2025.pdf</x:v>
      </x:c>
      <x:c r="C5" s="20" t="str">
        <x:v>54</x:v>
      </x:c>
      <x:c r="D5" s="20" t="str">
        <x:v>50</x:v>
      </x:c>
      <x:c r="E5" s="20" t="str">
        <x:v>2025车险COR95.8%；新能源车险保费52,480；同比+39.0%；承保盈利</x:v>
      </x:c>
      <x:c r="F5" s="20" t="str">
        <x:v>/Users/arinwu/Downloads/pingan-analysis/00-原始材料/中国平安_年报_2025.pdf</x:v>
      </x:c>
      <x:c r="G5" s="20" t="str">
        <x:v>公司年报</x:v>
      </x:c>
    </x:row>
    <x:row r="6" ht="15" hidden="0" customHeight="1">
      <x:c r="A6" s="20" t="str">
        <x:v>S2</x:v>
      </x:c>
      <x:c r="B6" s="20" t="str">
        <x:v>中国平安_年报_2025.pdf</x:v>
      </x:c>
      <x:c r="C6" s="20" t="str">
        <x:v>58</x:v>
      </x:c>
      <x:c r="D6" s="20" t="str">
        <x:v>54</x:v>
      </x:c>
      <x:c r="E6" s="20" t="str">
        <x:v>2025/2024车险原保险保费230,362/223,301</x:v>
      </x:c>
      <x:c r="F6" s="20" t="str">
        <x:v>/Users/arinwu/Downloads/pingan-analysis/00-原始材料/中国平安_年报_2025.pdf</x:v>
      </x:c>
      <x:c r="G6" s="20" t="str">
        <x:v>公司年报</x:v>
      </x:c>
    </x:row>
    <x:row r="7" ht="15" hidden="0" customHeight="1">
      <x:c r="A7" s="20" t="str">
        <x:v>S3</x:v>
      </x:c>
      <x:c r="B7" s="20" t="str">
        <x:v>中国平安_年报_2024.pdf</x:v>
      </x:c>
      <x:c r="C7" s="20" t="str">
        <x:v>44–45</x:v>
      </x:c>
      <x:c r="D7" s="20" t="str">
        <x:v>40–41</x:v>
      </x:c>
      <x:c r="E7" s="20" t="str">
        <x:v>2024车险COR98.1%</x:v>
      </x:c>
      <x:c r="F7" s="20" t="str">
        <x:v>/Users/arinwu/Downloads/pingan-analysis/00-原始材料/中国平安_年报_2024.pdf</x:v>
      </x:c>
      <x:c r="G7" s="20" t="str">
        <x:v>公司年报</x:v>
      </x:c>
    </x:row>
    <x:row r="8" ht="15" hidden="0" customHeight="1">
      <x:c r="A8" s="20" t="str">
        <x:v>A1</x:v>
      </x:c>
      <x:c r="B8" s="20" t="str">
        <x:v>用户确认</x:v>
      </x:c>
      <x:c r="C8" s="20" t="str">
        <x:v>—</x:v>
      </x:c>
      <x:c r="D8" s="20" t="str">
        <x:v>—</x:v>
      </x:c>
      <x:c r="E8" s="20" t="str">
        <x:v>x=0–5.44pp；标准占比增量1pct</x:v>
      </x:c>
      <x:c r="F8" s="20" t="str">
        <x:v>本次对话，2026-08-15</x:v>
      </x:c>
      <x:c r="G8" s="20" t="str">
        <x:v>情景假设，非公司披露</x:v>
      </x:c>
    </x:row>
  </x:sheetData>
  <x:mergeCells>
    <x:mergeCell ref="A1:G1"/>
    <x:mergeCell ref="A2:G2"/>
  </x:mergeCells>
  <x:pageMargins left="0.7" right="0.7" top="0.75" bottom="0.75" header="0.3" footer="0.3"/>
</x:worksheet>
</file>